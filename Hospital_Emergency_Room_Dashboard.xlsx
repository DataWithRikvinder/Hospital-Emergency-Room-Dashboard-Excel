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excel\Hospital Emergency Room Data Analysis\"/>
    </mc:Choice>
  </mc:AlternateContent>
  <xr:revisionPtr revIDLastSave="0" documentId="13_ncr:1_{1067BEE8-7FEC-4692-BF54-9DABB4AB2A7C}" xr6:coauthVersionLast="47" xr6:coauthVersionMax="47" xr10:uidLastSave="{00000000-0000-0000-0000-000000000000}"/>
  <bookViews>
    <workbookView xWindow="-108" yWindow="-108" windowWidth="23256" windowHeight="12456" xr2:uid="{7FD40151-978A-4B11-B04E-6117F4FA97D4}"/>
  </bookViews>
  <sheets>
    <sheet name="Dashboard" sheetId="2" r:id="rId1"/>
    <sheet name="Pivot Report" sheetId="1" r:id="rId2"/>
    <sheet name="Daily ER No. of Patient" sheetId="3" r:id="rId3"/>
    <sheet name="Average Wait Time Daily Trend" sheetId="4" r:id="rId4"/>
    <sheet name="Satisfaction score daily trends" sheetId="5"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0a5f59ae-14cc-4a47-86f0-d32ae095c464" name="Hospital Emergency Room Data" connection="Query - Hospital Emergency Room Data"/>
          <x15:modelTable id="Calendar_Table_e9a9a67a-f6c4-4625-b2b3-962912b5cf3f"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1" i="1" l="1"/>
  <c r="C52" i="1"/>
  <c r="B51" i="1"/>
  <c r="B52" i="1"/>
  <c r="A51" i="1"/>
  <c r="A5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8233BC-4E42-4264-88D3-129A10D059CD}" name="Query - Calendar_Table" description="Connection to the 'Calendar_Table' query in the workbook." type="100" refreshedVersion="8" minRefreshableVersion="5">
    <extLst>
      <ext xmlns:x15="http://schemas.microsoft.com/office/spreadsheetml/2010/11/main" uri="{DE250136-89BD-433C-8126-D09CA5730AF9}">
        <x15:connection id="5312f7fa-e9a0-4abf-8837-c3113ac77bcf"/>
      </ext>
    </extLst>
  </connection>
  <connection id="2" xr16:uid="{2C39B866-37B7-44CA-996E-FB5A3FC47197}"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d36a4d89-4d43-4a77-ac2a-d6f0eafe2f9d"/>
      </ext>
    </extLst>
  </connection>
  <connection id="3" xr16:uid="{866A4B9F-9B38-47CC-85F6-0C6391B6096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<sst xmlns="http://schemas.openxmlformats.org/spreadsheetml/2006/main" count="158" uniqueCount="77">
  <si>
    <t>Row Labels</t>
  </si>
  <si>
    <t>Grand Total</t>
  </si>
  <si>
    <t>Distinct Count of Patient Id</t>
  </si>
  <si>
    <t>No. of Patient</t>
  </si>
  <si>
    <t>Average of Patient Waittime</t>
  </si>
  <si>
    <t>Average of Patient Satisfaction Score</t>
  </si>
  <si>
    <t>2023</t>
  </si>
  <si>
    <t>Daily Trends of No. of Patient</t>
  </si>
  <si>
    <t>Average Wait Time</t>
  </si>
  <si>
    <t>Use an area chart to track daily changes and highlight days with longer wait times that might need improvements</t>
  </si>
  <si>
    <t>Show a daily trends with an area sparklines to spot patterns like busy days or seasonal trends</t>
  </si>
  <si>
    <t>Satisfaction score daily trend</t>
  </si>
  <si>
    <t>Use an area Chart to show trends, spot drops is satisfation, and link them to busy times or challenges</t>
  </si>
  <si>
    <t>Count of Patient Admission Flag</t>
  </si>
  <si>
    <t>Admitted</t>
  </si>
  <si>
    <t>Not Admitted</t>
  </si>
  <si>
    <t>Count of Patient Admission Flag2</t>
  </si>
  <si>
    <t>Admission Status</t>
  </si>
  <si>
    <t>% Status</t>
  </si>
  <si>
    <t xml:space="preserve"> Patient</t>
  </si>
  <si>
    <t>0-09</t>
  </si>
  <si>
    <t>10-19</t>
  </si>
  <si>
    <t>20-29</t>
  </si>
  <si>
    <t>30-39</t>
  </si>
  <si>
    <t>40-49</t>
  </si>
  <si>
    <t>50-59</t>
  </si>
  <si>
    <t>60-69</t>
  </si>
  <si>
    <t>70-79</t>
  </si>
  <si>
    <t>Count of Age Group</t>
  </si>
  <si>
    <t>Age group wise analysis</t>
  </si>
  <si>
    <t>Ontime</t>
  </si>
  <si>
    <t>Delay</t>
  </si>
  <si>
    <t>Count of Patient Attend Status</t>
  </si>
  <si>
    <t xml:space="preserve">Attend Status </t>
  </si>
  <si>
    <t>Female</t>
  </si>
  <si>
    <t>Male</t>
  </si>
  <si>
    <t>Count of Patient Gender</t>
  </si>
  <si>
    <t>Cardiology</t>
  </si>
  <si>
    <t>Gastroenterology</t>
  </si>
  <si>
    <t>General Practice</t>
  </si>
  <si>
    <t>Neurology</t>
  </si>
  <si>
    <t>None</t>
  </si>
  <si>
    <t>Orthopedics</t>
  </si>
  <si>
    <t>Physiotherapy</t>
  </si>
  <si>
    <t>Renal</t>
  </si>
  <si>
    <t>Count of Department Referral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</si>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</sst>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4" tint="0.39997558519241921"/>
        <bgColor indexed="64"/>
      </patternFill>
    </fill>
    <fill>
      <patternFill patternType="solid">
        <fgColor theme="0"/>
        <bgColor indexed="64"/>
      </patternFill>
    </fill>
    <fill>
      <patternFill patternType="solid">
        <fgColor theme="1" tint="0.49998474074526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2" fillId="2" borderId="0" xfId="0" applyFont="1" applyFill="1"/>
    <xf numFmtId="164" fontId="0" fillId="0" borderId="0" xfId="0" applyNumberFormat="1"/>
    <xf numFmtId="1" fontId="0" fillId="0" borderId="0" xfId="0" applyNumberFormat="1"/>
    <xf numFmtId="10" fontId="0" fillId="0" borderId="0" xfId="0" applyNumberFormat="1"/>
    <xf numFmtId="0" fontId="0" fillId="3" borderId="0" xfId="0" applyFill="1" applyAlignment="1">
      <alignment horizontal="center"/>
    </xf>
    <xf numFmtId="0" fontId="0" fillId="4" borderId="0" xfId="0" applyFill="1" applyAlignment="1">
      <alignment horizontal="center"/>
    </xf>
    <xf numFmtId="9" fontId="0" fillId="4" borderId="0" xfId="1" applyFont="1" applyFill="1" applyAlignment="1">
      <alignment horizontal="center"/>
    </xf>
    <xf numFmtId="0" fontId="0" fillId="5" borderId="0" xfId="0" applyFill="1"/>
    <xf numFmtId="0" fontId="0" fillId="3" borderId="0" xfId="0" applyFill="1"/>
  </cellXfs>
  <cellStyles count="2">
    <cellStyle name="Normal" xfId="0" builtinId="0"/>
    <cellStyle name="Percent" xfId="1" builtinId="5"/>
  </cellStyles>
  <dxfs count="19">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64" formatCode="0.0"/>
    </dxf>
    <dxf>
      <numFmt numFmtId="2" formatCode="0.00"/>
    </dxf>
    <dxf>
      <numFmt numFmtId="14" formatCode="0.00%"/>
    </dxf>
    <dxf>
      <numFmt numFmtId="1" formatCode="0"/>
    </dxf>
    <dxf>
      <numFmt numFmtId="2" formatCode="0.00"/>
    </dxf>
    <dxf>
      <numFmt numFmtId="1" formatCode="0"/>
    </dxf>
    <dxf>
      <numFmt numFmtId="2" formatCode="0.00"/>
    </dxf>
    <dxf>
      <font>
        <b/>
        <color theme="1"/>
      </font>
      <border>
        <bottom style="thin">
          <color theme="5"/>
        </bottom>
        <vertical/>
        <horizontal/>
      </border>
    </dxf>
    <dxf>
      <font>
        <sz val="6"/>
        <color theme="1"/>
      </font>
      <fill>
        <patternFill patternType="none">
          <fgColor indexed="64"/>
          <bgColor auto="1"/>
        </patternFill>
      </fill>
      <border diagonalUp="0" diagonalDown="0">
        <left/>
        <right/>
        <top/>
        <bottom/>
        <vertical/>
        <horizontal/>
      </border>
    </dxf>
    <dxf>
      <font>
        <b/>
        <color theme="1"/>
      </font>
      <border>
        <bottom style="thin">
          <color theme="4"/>
        </bottom>
        <vertical/>
        <horizontal/>
      </border>
    </dxf>
    <dxf>
      <font>
        <sz val="6"/>
        <color theme="1"/>
      </font>
      <fill>
        <patternFill>
          <fgColor theme="5" tint="0.59996337778862885"/>
          <bgColor theme="0"/>
        </patternFill>
      </fill>
      <border diagonalUp="0" diagonalDown="0">
        <left/>
        <right/>
        <top/>
        <bottom/>
        <vertical/>
        <horizontal/>
      </border>
    </dxf>
  </dxfs>
  <tableStyles count="2" defaultTableStyle="TableStyleMedium2" defaultPivotStyle="PivotStyleLight16">
    <tableStyle name="My Style" pivot="0" table="0" count="10" xr9:uid="{F095C094-0CDF-4373-B0CB-38F2AB9E8BE9}">
      <tableStyleElement type="wholeTable" dxfId="18"/>
      <tableStyleElement type="headerRow" dxfId="17"/>
    </tableStyle>
    <tableStyle name="my style 2" pivot="0" table="0" count="10" xr9:uid="{B80D0E69-F01C-4317-B566-A0362A1D4DD0}">
      <tableStyleElement type="wholeTable" dxfId="16"/>
      <tableStyleElement type="headerRow" dxfId="15"/>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4.9989318521683403E-2"/>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0.2499465926084170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712295578437307E-2"/>
          <c:y val="0.22428512225445504"/>
          <c:w val="0.93888888888888888"/>
          <c:h val="0.77028543307086617"/>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Report'!$D$5:$D$36</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Report'!$E$5:$E$36</c:f>
              <c:numCache>
                <c:formatCode>General</c:formatCode>
                <c:ptCount val="31"/>
                <c:pt idx="0">
                  <c:v>14</c:v>
                </c:pt>
                <c:pt idx="1">
                  <c:v>15</c:v>
                </c:pt>
                <c:pt idx="2">
                  <c:v>17</c:v>
                </c:pt>
                <c:pt idx="3">
                  <c:v>12</c:v>
                </c:pt>
                <c:pt idx="4">
                  <c:v>23</c:v>
                </c:pt>
                <c:pt idx="5">
                  <c:v>10</c:v>
                </c:pt>
                <c:pt idx="6">
                  <c:v>18</c:v>
                </c:pt>
                <c:pt idx="7">
                  <c:v>11</c:v>
                </c:pt>
                <c:pt idx="8">
                  <c:v>12</c:v>
                </c:pt>
                <c:pt idx="9">
                  <c:v>24</c:v>
                </c:pt>
                <c:pt idx="10">
                  <c:v>16</c:v>
                </c:pt>
                <c:pt idx="11">
                  <c:v>21</c:v>
                </c:pt>
                <c:pt idx="12">
                  <c:v>16</c:v>
                </c:pt>
                <c:pt idx="13">
                  <c:v>15</c:v>
                </c:pt>
                <c:pt idx="14">
                  <c:v>14</c:v>
                </c:pt>
                <c:pt idx="15">
                  <c:v>18</c:v>
                </c:pt>
                <c:pt idx="16">
                  <c:v>12</c:v>
                </c:pt>
                <c:pt idx="17">
                  <c:v>18</c:v>
                </c:pt>
                <c:pt idx="18">
                  <c:v>16</c:v>
                </c:pt>
                <c:pt idx="19">
                  <c:v>22</c:v>
                </c:pt>
                <c:pt idx="20">
                  <c:v>16</c:v>
                </c:pt>
                <c:pt idx="21">
                  <c:v>10</c:v>
                </c:pt>
                <c:pt idx="22">
                  <c:v>18</c:v>
                </c:pt>
                <c:pt idx="23">
                  <c:v>13</c:v>
                </c:pt>
                <c:pt idx="24">
                  <c:v>20</c:v>
                </c:pt>
                <c:pt idx="25">
                  <c:v>17</c:v>
                </c:pt>
                <c:pt idx="26">
                  <c:v>19</c:v>
                </c:pt>
                <c:pt idx="27">
                  <c:v>17</c:v>
                </c:pt>
                <c:pt idx="28">
                  <c:v>22</c:v>
                </c:pt>
                <c:pt idx="29">
                  <c:v>9</c:v>
                </c:pt>
                <c:pt idx="30">
                  <c:v>9</c:v>
                </c:pt>
              </c:numCache>
            </c:numRef>
          </c:val>
          <c:extLst>
            <c:ext xmlns:c16="http://schemas.microsoft.com/office/drawing/2014/chart" uri="{C3380CC4-5D6E-409C-BE32-E72D297353CC}">
              <c16:uniqueId val="{00000000-FA8B-4BAF-A06B-D44E2E0F446C}"/>
            </c:ext>
          </c:extLst>
        </c:ser>
        <c:dLbls>
          <c:showLegendKey val="0"/>
          <c:showVal val="0"/>
          <c:showCatName val="0"/>
          <c:showSerName val="0"/>
          <c:showPercent val="0"/>
          <c:showBubbleSize val="0"/>
        </c:dLbls>
        <c:axId val="1442932495"/>
        <c:axId val="288806800"/>
      </c:areaChart>
      <c:catAx>
        <c:axId val="1442932495"/>
        <c:scaling>
          <c:orientation val="minMax"/>
        </c:scaling>
        <c:delete val="1"/>
        <c:axPos val="b"/>
        <c:numFmt formatCode="General" sourceLinked="1"/>
        <c:majorTickMark val="out"/>
        <c:minorTickMark val="none"/>
        <c:tickLblPos val="nextTo"/>
        <c:crossAx val="288806800"/>
        <c:crosses val="autoZero"/>
        <c:auto val="1"/>
        <c:lblAlgn val="ctr"/>
        <c:lblOffset val="100"/>
        <c:noMultiLvlLbl val="0"/>
      </c:catAx>
      <c:valAx>
        <c:axId val="288806800"/>
        <c:scaling>
          <c:orientation val="minMax"/>
        </c:scaling>
        <c:delete val="1"/>
        <c:axPos val="l"/>
        <c:numFmt formatCode="General" sourceLinked="1"/>
        <c:majorTickMark val="none"/>
        <c:minorTickMark val="none"/>
        <c:tickLblPos val="nextTo"/>
        <c:crossAx val="14429324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6857421938441697"/>
          <c:w val="1"/>
          <c:h val="0.74756847932511383"/>
        </c:manualLayout>
      </c:layout>
      <c:areaChart>
        <c:grouping val="standard"/>
        <c:varyColors val="0"/>
        <c:ser>
          <c:idx val="0"/>
          <c:order val="0"/>
          <c:tx>
            <c:strRef>
              <c:f>'Pivot Report'!$I$4</c:f>
              <c:strCache>
                <c:ptCount val="1"/>
                <c:pt idx="0">
                  <c:v>Total</c:v>
                </c:pt>
              </c:strCache>
            </c:strRef>
          </c:tx>
          <c:spPr>
            <a:solidFill>
              <a:schemeClr val="accent1"/>
            </a:solidFill>
            <a:ln w="25400">
              <a:noFill/>
            </a:ln>
            <a:effectLst/>
          </c:spPr>
          <c:cat>
            <c:strRef>
              <c:f>'Pivot Report'!$H$5:$H$36</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Report'!$I$5:$I$36</c:f>
              <c:numCache>
                <c:formatCode>0.00</c:formatCode>
                <c:ptCount val="31"/>
                <c:pt idx="0">
                  <c:v>35.714285714285715</c:v>
                </c:pt>
                <c:pt idx="1">
                  <c:v>38.533333333333331</c:v>
                </c:pt>
                <c:pt idx="2">
                  <c:v>38.941176470588232</c:v>
                </c:pt>
                <c:pt idx="3">
                  <c:v>35.666666666666664</c:v>
                </c:pt>
                <c:pt idx="4">
                  <c:v>39.478260869565219</c:v>
                </c:pt>
                <c:pt idx="5">
                  <c:v>25.1</c:v>
                </c:pt>
                <c:pt idx="6">
                  <c:v>43.666666666666664</c:v>
                </c:pt>
                <c:pt idx="7">
                  <c:v>38.090909090909093</c:v>
                </c:pt>
                <c:pt idx="8">
                  <c:v>28.25</c:v>
                </c:pt>
                <c:pt idx="9">
                  <c:v>36.291666666666664</c:v>
                </c:pt>
                <c:pt idx="10">
                  <c:v>31.875</c:v>
                </c:pt>
                <c:pt idx="11">
                  <c:v>32.333333333333336</c:v>
                </c:pt>
                <c:pt idx="12">
                  <c:v>36.3125</c:v>
                </c:pt>
                <c:pt idx="13">
                  <c:v>41.133333333333333</c:v>
                </c:pt>
                <c:pt idx="14">
                  <c:v>32.071428571428569</c:v>
                </c:pt>
                <c:pt idx="15">
                  <c:v>34.222222222222221</c:v>
                </c:pt>
                <c:pt idx="16">
                  <c:v>43.666666666666664</c:v>
                </c:pt>
                <c:pt idx="17">
                  <c:v>38.5</c:v>
                </c:pt>
                <c:pt idx="18">
                  <c:v>32.6875</c:v>
                </c:pt>
                <c:pt idx="19">
                  <c:v>41.045454545454547</c:v>
                </c:pt>
                <c:pt idx="20">
                  <c:v>36.6875</c:v>
                </c:pt>
                <c:pt idx="21">
                  <c:v>38.5</c:v>
                </c:pt>
                <c:pt idx="22">
                  <c:v>33.777777777777779</c:v>
                </c:pt>
                <c:pt idx="23">
                  <c:v>41.692307692307693</c:v>
                </c:pt>
                <c:pt idx="24">
                  <c:v>31.7</c:v>
                </c:pt>
                <c:pt idx="25">
                  <c:v>36.470588235294116</c:v>
                </c:pt>
                <c:pt idx="26">
                  <c:v>37.210526315789473</c:v>
                </c:pt>
                <c:pt idx="27">
                  <c:v>36.294117647058826</c:v>
                </c:pt>
                <c:pt idx="28">
                  <c:v>32</c:v>
                </c:pt>
                <c:pt idx="29">
                  <c:v>41.444444444444443</c:v>
                </c:pt>
                <c:pt idx="30">
                  <c:v>40.444444444444443</c:v>
                </c:pt>
              </c:numCache>
            </c:numRef>
          </c:val>
          <c:extLst>
            <c:ext xmlns:c16="http://schemas.microsoft.com/office/drawing/2014/chart" uri="{C3380CC4-5D6E-409C-BE32-E72D297353CC}">
              <c16:uniqueId val="{00000000-7BE8-4E95-B4AB-1106BE6116E9}"/>
            </c:ext>
          </c:extLst>
        </c:ser>
        <c:dLbls>
          <c:showLegendKey val="0"/>
          <c:showVal val="0"/>
          <c:showCatName val="0"/>
          <c:showSerName val="0"/>
          <c:showPercent val="0"/>
          <c:showBubbleSize val="0"/>
        </c:dLbls>
        <c:axId val="255301920"/>
        <c:axId val="239745360"/>
      </c:areaChart>
      <c:catAx>
        <c:axId val="255301920"/>
        <c:scaling>
          <c:orientation val="minMax"/>
        </c:scaling>
        <c:delete val="1"/>
        <c:axPos val="b"/>
        <c:numFmt formatCode="General" sourceLinked="1"/>
        <c:majorTickMark val="out"/>
        <c:minorTickMark val="none"/>
        <c:tickLblPos val="nextTo"/>
        <c:crossAx val="239745360"/>
        <c:crosses val="autoZero"/>
        <c:auto val="1"/>
        <c:lblAlgn val="ctr"/>
        <c:lblOffset val="100"/>
        <c:noMultiLvlLbl val="0"/>
      </c:catAx>
      <c:valAx>
        <c:axId val="239745360"/>
        <c:scaling>
          <c:orientation val="minMax"/>
        </c:scaling>
        <c:delete val="1"/>
        <c:axPos val="l"/>
        <c:numFmt formatCode="0.00" sourceLinked="1"/>
        <c:majorTickMark val="none"/>
        <c:minorTickMark val="none"/>
        <c:tickLblPos val="nextTo"/>
        <c:crossAx val="2553019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Report!PivotTable6</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113054115052632E-2"/>
          <c:y val="0.13570791520360242"/>
          <c:w val="0.94360518299452034"/>
          <c:h val="0.86183066749930926"/>
        </c:manualLayout>
      </c:layout>
      <c:areaChart>
        <c:grouping val="standard"/>
        <c:varyColors val="0"/>
        <c:ser>
          <c:idx val="0"/>
          <c:order val="0"/>
          <c:tx>
            <c:strRef>
              <c:f>'Pivot Report'!$M$4</c:f>
              <c:strCache>
                <c:ptCount val="1"/>
                <c:pt idx="0">
                  <c:v>Total</c:v>
                </c:pt>
              </c:strCache>
            </c:strRef>
          </c:tx>
          <c:spPr>
            <a:solidFill>
              <a:schemeClr val="accent1"/>
            </a:solidFill>
            <a:ln w="25400">
              <a:noFill/>
            </a:ln>
            <a:effectLst/>
          </c:spPr>
          <c:cat>
            <c:strRef>
              <c:f>'Pivot Report'!$L$5:$L$36</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Report'!$M$5:$M$36</c:f>
              <c:numCache>
                <c:formatCode>0.0</c:formatCode>
                <c:ptCount val="31"/>
                <c:pt idx="0">
                  <c:v>8</c:v>
                </c:pt>
                <c:pt idx="1">
                  <c:v>4</c:v>
                </c:pt>
                <c:pt idx="2">
                  <c:v>5.333333333333333</c:v>
                </c:pt>
                <c:pt idx="3">
                  <c:v>4.666666666666667</c:v>
                </c:pt>
                <c:pt idx="4">
                  <c:v>6.2</c:v>
                </c:pt>
                <c:pt idx="5">
                  <c:v>6.333333333333333</c:v>
                </c:pt>
                <c:pt idx="6">
                  <c:v>9.5</c:v>
                </c:pt>
                <c:pt idx="7">
                  <c:v>2</c:v>
                </c:pt>
                <c:pt idx="8">
                  <c:v>6.666666666666667</c:v>
                </c:pt>
                <c:pt idx="9">
                  <c:v>2.25</c:v>
                </c:pt>
                <c:pt idx="10">
                  <c:v>3</c:v>
                </c:pt>
                <c:pt idx="11">
                  <c:v>4.7142857142857144</c:v>
                </c:pt>
                <c:pt idx="12">
                  <c:v>10</c:v>
                </c:pt>
                <c:pt idx="13">
                  <c:v>5.666666666666667</c:v>
                </c:pt>
                <c:pt idx="14">
                  <c:v>5</c:v>
                </c:pt>
                <c:pt idx="15">
                  <c:v>3</c:v>
                </c:pt>
                <c:pt idx="16">
                  <c:v>5.333333333333333</c:v>
                </c:pt>
                <c:pt idx="17">
                  <c:v>5.833333333333333</c:v>
                </c:pt>
                <c:pt idx="18">
                  <c:v>5.8</c:v>
                </c:pt>
                <c:pt idx="19">
                  <c:v>5.2</c:v>
                </c:pt>
                <c:pt idx="20">
                  <c:v>4.5</c:v>
                </c:pt>
                <c:pt idx="21">
                  <c:v>6</c:v>
                </c:pt>
                <c:pt idx="22">
                  <c:v>6.5</c:v>
                </c:pt>
                <c:pt idx="23">
                  <c:v>4.166666666666667</c:v>
                </c:pt>
                <c:pt idx="24">
                  <c:v>3.6666666666666665</c:v>
                </c:pt>
                <c:pt idx="25">
                  <c:v>3.5</c:v>
                </c:pt>
                <c:pt idx="26">
                  <c:v>6</c:v>
                </c:pt>
                <c:pt idx="27">
                  <c:v>5.1428571428571432</c:v>
                </c:pt>
                <c:pt idx="28">
                  <c:v>4</c:v>
                </c:pt>
                <c:pt idx="29">
                  <c:v>3.5</c:v>
                </c:pt>
                <c:pt idx="30">
                  <c:v>5</c:v>
                </c:pt>
              </c:numCache>
            </c:numRef>
          </c:val>
          <c:extLst>
            <c:ext xmlns:c16="http://schemas.microsoft.com/office/drawing/2014/chart" uri="{C3380CC4-5D6E-409C-BE32-E72D297353CC}">
              <c16:uniqueId val="{00000000-9539-47FD-B38A-952BC034FC0E}"/>
            </c:ext>
          </c:extLst>
        </c:ser>
        <c:dLbls>
          <c:showLegendKey val="0"/>
          <c:showVal val="0"/>
          <c:showCatName val="0"/>
          <c:showSerName val="0"/>
          <c:showPercent val="0"/>
          <c:showBubbleSize val="0"/>
        </c:dLbls>
        <c:axId val="255230464"/>
        <c:axId val="239638320"/>
      </c:areaChart>
      <c:catAx>
        <c:axId val="255230464"/>
        <c:scaling>
          <c:orientation val="minMax"/>
        </c:scaling>
        <c:delete val="1"/>
        <c:axPos val="b"/>
        <c:numFmt formatCode="General" sourceLinked="1"/>
        <c:majorTickMark val="out"/>
        <c:minorTickMark val="none"/>
        <c:tickLblPos val="nextTo"/>
        <c:crossAx val="239638320"/>
        <c:crosses val="autoZero"/>
        <c:auto val="1"/>
        <c:lblAlgn val="ctr"/>
        <c:lblOffset val="100"/>
        <c:noMultiLvlLbl val="0"/>
      </c:catAx>
      <c:valAx>
        <c:axId val="239638320"/>
        <c:scaling>
          <c:orientation val="minMax"/>
        </c:scaling>
        <c:delete val="1"/>
        <c:axPos val="l"/>
        <c:numFmt formatCode="0.0" sourceLinked="1"/>
        <c:majorTickMark val="none"/>
        <c:minorTickMark val="none"/>
        <c:tickLblPos val="nextTo"/>
        <c:crossAx val="2552304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380182777119003E-2"/>
          <c:y val="0.11458333333333333"/>
          <c:w val="0.89653147124545152"/>
          <c:h val="0.64460137795275596"/>
        </c:manualLayout>
      </c:layout>
      <c:barChart>
        <c:barDir val="col"/>
        <c:grouping val="clustered"/>
        <c:varyColors val="0"/>
        <c:ser>
          <c:idx val="0"/>
          <c:order val="0"/>
          <c:tx>
            <c:strRef>
              <c:f>'Pivot Report'!$B$55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Report'!$A$56:$A$64</c:f>
              <c:strCache>
                <c:ptCount val="8"/>
                <c:pt idx="0">
                  <c:v>0-09</c:v>
                </c:pt>
                <c:pt idx="1">
                  <c:v>10-19</c:v>
                </c:pt>
                <c:pt idx="2">
                  <c:v>20-29</c:v>
                </c:pt>
                <c:pt idx="3">
                  <c:v>30-39</c:v>
                </c:pt>
                <c:pt idx="4">
                  <c:v>40-49</c:v>
                </c:pt>
                <c:pt idx="5">
                  <c:v>50-59</c:v>
                </c:pt>
                <c:pt idx="6">
                  <c:v>60-69</c:v>
                </c:pt>
                <c:pt idx="7">
                  <c:v>70-79</c:v>
                </c:pt>
              </c:strCache>
            </c:strRef>
          </c:cat>
          <c:val>
            <c:numRef>
              <c:f>'Pivot Report'!$B$56:$B$64</c:f>
              <c:numCache>
                <c:formatCode>0.00</c:formatCode>
                <c:ptCount val="8"/>
                <c:pt idx="0">
                  <c:v>64</c:v>
                </c:pt>
                <c:pt idx="1">
                  <c:v>74</c:v>
                </c:pt>
                <c:pt idx="2">
                  <c:v>54</c:v>
                </c:pt>
                <c:pt idx="3">
                  <c:v>73</c:v>
                </c:pt>
                <c:pt idx="4">
                  <c:v>62</c:v>
                </c:pt>
                <c:pt idx="5">
                  <c:v>53</c:v>
                </c:pt>
                <c:pt idx="6">
                  <c:v>62</c:v>
                </c:pt>
                <c:pt idx="7">
                  <c:v>52</c:v>
                </c:pt>
              </c:numCache>
            </c:numRef>
          </c:val>
          <c:extLst>
            <c:ext xmlns:c16="http://schemas.microsoft.com/office/drawing/2014/chart" uri="{C3380CC4-5D6E-409C-BE32-E72D297353CC}">
              <c16:uniqueId val="{00000000-6D6E-46F0-B214-5EDD3F960777}"/>
            </c:ext>
          </c:extLst>
        </c:ser>
        <c:dLbls>
          <c:dLblPos val="outEnd"/>
          <c:showLegendKey val="0"/>
          <c:showVal val="1"/>
          <c:showCatName val="0"/>
          <c:showSerName val="0"/>
          <c:showPercent val="0"/>
          <c:showBubbleSize val="0"/>
        </c:dLbls>
        <c:gapWidth val="219"/>
        <c:overlap val="-27"/>
        <c:axId val="255335792"/>
        <c:axId val="239716560"/>
      </c:barChart>
      <c:catAx>
        <c:axId val="25533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239716560"/>
        <c:crosses val="autoZero"/>
        <c:auto val="1"/>
        <c:lblAlgn val="ctr"/>
        <c:lblOffset val="100"/>
        <c:noMultiLvlLbl val="0"/>
      </c:catAx>
      <c:valAx>
        <c:axId val="239716560"/>
        <c:scaling>
          <c:orientation val="minMax"/>
        </c:scaling>
        <c:delete val="1"/>
        <c:axPos val="l"/>
        <c:numFmt formatCode="0.00" sourceLinked="1"/>
        <c:majorTickMark val="none"/>
        <c:minorTickMark val="none"/>
        <c:tickLblPos val="nextTo"/>
        <c:crossAx val="25533579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Report!PivotTable9</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3868540463382198"/>
          <c:y val="0.19678199324600018"/>
          <c:w val="0.66146561896509415"/>
          <c:h val="0.61524848869397308"/>
        </c:manualLayout>
      </c:layout>
      <c:pieChart>
        <c:varyColors val="1"/>
        <c:ser>
          <c:idx val="0"/>
          <c:order val="0"/>
          <c:tx>
            <c:strRef>
              <c:f>'Pivot Report'!$B$71</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8892-4FE4-A166-126D52F15A4E}"/>
              </c:ext>
            </c:extLst>
          </c:dPt>
          <c:dPt>
            <c:idx val="1"/>
            <c:bubble3D val="0"/>
            <c:spPr>
              <a:solidFill>
                <a:schemeClr val="accent2"/>
              </a:solidFill>
              <a:ln>
                <a:noFill/>
              </a:ln>
              <a:effectLst/>
            </c:spPr>
            <c:extLst>
              <c:ext xmlns:c16="http://schemas.microsoft.com/office/drawing/2014/chart" uri="{C3380CC4-5D6E-409C-BE32-E72D297353CC}">
                <c16:uniqueId val="{00000003-8892-4FE4-A166-126D52F15A4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Report'!$A$72:$A$74</c:f>
              <c:strCache>
                <c:ptCount val="2"/>
                <c:pt idx="0">
                  <c:v>Delay</c:v>
                </c:pt>
                <c:pt idx="1">
                  <c:v>Ontime</c:v>
                </c:pt>
              </c:strCache>
            </c:strRef>
          </c:cat>
          <c:val>
            <c:numRef>
              <c:f>'Pivot Report'!$B$72:$B$74</c:f>
              <c:numCache>
                <c:formatCode>0</c:formatCode>
                <c:ptCount val="2"/>
                <c:pt idx="0">
                  <c:v>307</c:v>
                </c:pt>
                <c:pt idx="1">
                  <c:v>187</c:v>
                </c:pt>
              </c:numCache>
            </c:numRef>
          </c:val>
          <c:extLst>
            <c:ext xmlns:c16="http://schemas.microsoft.com/office/drawing/2014/chart" uri="{C3380CC4-5D6E-409C-BE32-E72D297353CC}">
              <c16:uniqueId val="{00000004-8C0C-4C50-8E9B-A7F6F1D8988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4373677537136986"/>
          <c:y val="6.9394055754113749E-3"/>
          <c:w val="0.69640116284228004"/>
          <c:h val="0.15724551238615345"/>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Report!PivotTable10</c:name>
    <c:fmtId val="11"/>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2882610261952548"/>
          <c:y val="0.1530270121378513"/>
          <c:w val="0.70545211260357166"/>
          <c:h val="0.77372254533631968"/>
        </c:manualLayout>
      </c:layout>
      <c:doughnutChart>
        <c:varyColors val="1"/>
        <c:ser>
          <c:idx val="0"/>
          <c:order val="0"/>
          <c:tx>
            <c:strRef>
              <c:f>'Pivot Report'!$B$77</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D451-407B-AC46-4B94CA8D0702}"/>
              </c:ext>
            </c:extLst>
          </c:dPt>
          <c:dPt>
            <c:idx val="1"/>
            <c:bubble3D val="0"/>
            <c:spPr>
              <a:solidFill>
                <a:schemeClr val="accent2"/>
              </a:solidFill>
              <a:ln>
                <a:noFill/>
              </a:ln>
              <a:effectLst/>
            </c:spPr>
            <c:extLst>
              <c:ext xmlns:c16="http://schemas.microsoft.com/office/drawing/2014/chart" uri="{C3380CC4-5D6E-409C-BE32-E72D297353CC}">
                <c16:uniqueId val="{00000003-D451-407B-AC46-4B94CA8D0702}"/>
              </c:ext>
            </c:extLst>
          </c:dPt>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Report'!$A$78:$A$80</c:f>
              <c:strCache>
                <c:ptCount val="2"/>
                <c:pt idx="0">
                  <c:v>Female</c:v>
                </c:pt>
                <c:pt idx="1">
                  <c:v>Male</c:v>
                </c:pt>
              </c:strCache>
            </c:strRef>
          </c:cat>
          <c:val>
            <c:numRef>
              <c:f>'Pivot Report'!$B$78:$B$80</c:f>
              <c:numCache>
                <c:formatCode>0</c:formatCode>
                <c:ptCount val="2"/>
                <c:pt idx="0">
                  <c:v>241</c:v>
                </c:pt>
                <c:pt idx="1">
                  <c:v>253</c:v>
                </c:pt>
              </c:numCache>
            </c:numRef>
          </c:val>
          <c:extLst>
            <c:ext xmlns:c16="http://schemas.microsoft.com/office/drawing/2014/chart" uri="{C3380CC4-5D6E-409C-BE32-E72D297353CC}">
              <c16:uniqueId val="{00000004-E903-49FC-BF4F-E5D54A3CE6F5}"/>
            </c:ext>
          </c:extLst>
        </c:ser>
        <c:dLbls>
          <c:showLegendKey val="0"/>
          <c:showVal val="0"/>
          <c:showCatName val="0"/>
          <c:showSerName val="0"/>
          <c:showPercent val="1"/>
          <c:showBubbleSize val="0"/>
          <c:showLeaderLines val="1"/>
        </c:dLbls>
        <c:firstSliceAng val="0"/>
        <c:holeSize val="36"/>
      </c:doughnutChart>
      <c:spPr>
        <a:noFill/>
        <a:ln>
          <a:noFill/>
        </a:ln>
        <a:effectLst/>
      </c:spPr>
    </c:plotArea>
    <c:legend>
      <c:legendPos val="r"/>
      <c:layout>
        <c:manualLayout>
          <c:xMode val="edge"/>
          <c:yMode val="edge"/>
          <c:x val="0.14290360763728063"/>
          <c:y val="0"/>
          <c:w val="0.65149812155833464"/>
          <c:h val="0.21065106190711239"/>
        </c:manualLayout>
      </c:layout>
      <c:overlay val="0"/>
      <c:spPr>
        <a:noFill/>
        <a:ln>
          <a:noFill/>
        </a:ln>
        <a:effectLst/>
      </c:spPr>
      <c:txPr>
        <a:bodyPr rot="0" spcFirstLastPara="1" vertOverflow="ellipsis" vert="horz" wrap="square" anchor="ctr" anchorCtr="1"/>
        <a:lstStyle/>
        <a:p>
          <a:pPr>
            <a:defRPr sz="5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Report!PivotTable11</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34538697659113"/>
          <c:y val="8.5564304461942259E-3"/>
          <c:w val="0.7283958058617741"/>
          <c:h val="0.82737707786526682"/>
        </c:manualLayout>
      </c:layout>
      <c:barChart>
        <c:barDir val="bar"/>
        <c:grouping val="clustered"/>
        <c:varyColors val="0"/>
        <c:ser>
          <c:idx val="0"/>
          <c:order val="0"/>
          <c:tx>
            <c:strRef>
              <c:f>'Pivot Report'!$B$83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Report'!$A$84:$A$92</c:f>
              <c:strCache>
                <c:ptCount val="8"/>
                <c:pt idx="0">
                  <c:v>Renal</c:v>
                </c:pt>
                <c:pt idx="1">
                  <c:v>Neurology</c:v>
                </c:pt>
                <c:pt idx="2">
                  <c:v>Gastroenterology</c:v>
                </c:pt>
                <c:pt idx="3">
                  <c:v>Physiotherapy</c:v>
                </c:pt>
                <c:pt idx="4">
                  <c:v>Cardiology</c:v>
                </c:pt>
                <c:pt idx="5">
                  <c:v>Orthopedics</c:v>
                </c:pt>
                <c:pt idx="6">
                  <c:v>General Practice</c:v>
                </c:pt>
                <c:pt idx="7">
                  <c:v>None</c:v>
                </c:pt>
              </c:strCache>
            </c:strRef>
          </c:cat>
          <c:val>
            <c:numRef>
              <c:f>'Pivot Report'!$B$84:$B$92</c:f>
              <c:numCache>
                <c:formatCode>0</c:formatCode>
                <c:ptCount val="8"/>
                <c:pt idx="0">
                  <c:v>6</c:v>
                </c:pt>
                <c:pt idx="1">
                  <c:v>8</c:v>
                </c:pt>
                <c:pt idx="2">
                  <c:v>8</c:v>
                </c:pt>
                <c:pt idx="3">
                  <c:v>11</c:v>
                </c:pt>
                <c:pt idx="4">
                  <c:v>17</c:v>
                </c:pt>
                <c:pt idx="5">
                  <c:v>49</c:v>
                </c:pt>
                <c:pt idx="6">
                  <c:v>92</c:v>
                </c:pt>
                <c:pt idx="7">
                  <c:v>303</c:v>
                </c:pt>
              </c:numCache>
            </c:numRef>
          </c:val>
          <c:extLst>
            <c:ext xmlns:c16="http://schemas.microsoft.com/office/drawing/2014/chart" uri="{C3380CC4-5D6E-409C-BE32-E72D297353CC}">
              <c16:uniqueId val="{00000000-2FFB-489D-B98C-2580A15922F9}"/>
            </c:ext>
          </c:extLst>
        </c:ser>
        <c:dLbls>
          <c:dLblPos val="outEnd"/>
          <c:showLegendKey val="0"/>
          <c:showVal val="1"/>
          <c:showCatName val="0"/>
          <c:showSerName val="0"/>
          <c:showPercent val="0"/>
          <c:showBubbleSize val="0"/>
        </c:dLbls>
        <c:gapWidth val="182"/>
        <c:axId val="255206336"/>
        <c:axId val="591004848"/>
      </c:barChart>
      <c:catAx>
        <c:axId val="255206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400" b="0" i="0" u="none" strike="noStrike" kern="1200" baseline="0">
                <a:solidFill>
                  <a:schemeClr val="tx1">
                    <a:lumMod val="65000"/>
                    <a:lumOff val="35000"/>
                  </a:schemeClr>
                </a:solidFill>
                <a:latin typeface="+mn-lt"/>
                <a:ea typeface="+mn-ea"/>
                <a:cs typeface="+mn-cs"/>
              </a:defRPr>
            </a:pPr>
            <a:endParaRPr lang="en-US"/>
          </a:p>
        </c:txPr>
        <c:crossAx val="591004848"/>
        <c:crosses val="autoZero"/>
        <c:auto val="1"/>
        <c:lblAlgn val="ctr"/>
        <c:lblOffset val="100"/>
        <c:noMultiLvlLbl val="0"/>
      </c:catAx>
      <c:valAx>
        <c:axId val="591004848"/>
        <c:scaling>
          <c:orientation val="minMax"/>
        </c:scaling>
        <c:delete val="1"/>
        <c:axPos val="b"/>
        <c:numFmt formatCode="0" sourceLinked="1"/>
        <c:majorTickMark val="none"/>
        <c:minorTickMark val="none"/>
        <c:tickLblPos val="nextTo"/>
        <c:crossAx val="255206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layout>
            <c:manualLayout>
              <c:x val="4.9019607843137254E-2"/>
              <c:y val="0"/>
            </c:manualLayout>
          </c:layout>
          <c:tx>
            <c:rich>
              <a:bodyPr rot="0" spcFirstLastPara="1" vertOverflow="ellipsis" vert="horz" wrap="none" anchor="ctr" anchorCtr="1"/>
              <a:lstStyle/>
              <a:p>
                <a:pPr>
                  <a:defRPr sz="700" b="0" i="0" u="none" strike="noStrike" kern="1200" baseline="0">
                    <a:solidFill>
                      <a:schemeClr val="tx1">
                        <a:lumMod val="75000"/>
                        <a:lumOff val="25000"/>
                      </a:schemeClr>
                    </a:solidFill>
                    <a:latin typeface="+mn-lt"/>
                    <a:ea typeface="+mn-ea"/>
                    <a:cs typeface="+mn-cs"/>
                  </a:defRPr>
                </a:pPr>
                <a:fld id="{74D1B57D-92E1-4551-819C-7AB046BB8AE4}" type="CELLRANGE">
                  <a:rPr lang="en-US"/>
                  <a:pPr>
                    <a:defRPr sz="7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dLbl>
          <c:idx val="0"/>
          <c:tx>
            <c:rich>
              <a:bodyPr rot="0" spcFirstLastPara="1" vertOverflow="ellipsis" vert="horz" wrap="none" anchor="ctr" anchorCtr="1"/>
              <a:lstStyle/>
              <a:p>
                <a:pPr>
                  <a:defRPr sz="700" b="0" i="0" u="none" strike="noStrike" kern="1200" baseline="0">
                    <a:solidFill>
                      <a:schemeClr val="tx1">
                        <a:lumMod val="75000"/>
                        <a:lumOff val="25000"/>
                      </a:schemeClr>
                    </a:solidFill>
                    <a:latin typeface="+mn-lt"/>
                    <a:ea typeface="+mn-ea"/>
                    <a:cs typeface="+mn-cs"/>
                  </a:defRPr>
                </a:pPr>
                <a:fld id="{99C081EC-CB7C-4BC4-8930-2568A7CF7B17}" type="CELLRANGE">
                  <a:rPr lang="en-IN"/>
                  <a:pPr>
                    <a:defRPr sz="7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3.8472466427133506E-2"/>
          <c:y val="0.13736502873849629"/>
          <c:w val="0.46417572803399582"/>
          <c:h val="0.84204505686789155"/>
        </c:manualLayout>
      </c:layout>
      <c:barChart>
        <c:barDir val="bar"/>
        <c:grouping val="clustered"/>
        <c:varyColors val="0"/>
        <c:ser>
          <c:idx val="0"/>
          <c:order val="0"/>
          <c:tx>
            <c:strRef>
              <c:f>'Pivot Report'!$C$42:$C$43</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15A3-404F-ACEB-D7077AA73CEC}"/>
              </c:ext>
            </c:extLst>
          </c:dPt>
          <c:dPt>
            <c:idx val="1"/>
            <c:invertIfNegative val="0"/>
            <c:bubble3D val="0"/>
            <c:extLst>
              <c:ext xmlns:c16="http://schemas.microsoft.com/office/drawing/2014/chart" uri="{C3380CC4-5D6E-409C-BE32-E72D297353CC}">
                <c16:uniqueId val="{00000005-2445-4990-ADF5-A109C33204D4}"/>
              </c:ext>
            </c:extLst>
          </c:dPt>
          <c:dLbls>
            <c:dLbl>
              <c:idx val="0"/>
              <c:layout>
                <c:manualLayout>
                  <c:x val="4.9019607843137254E-2"/>
                  <c:y val="0"/>
                </c:manualLayout>
              </c:layout>
              <c:tx>
                <c:rich>
                  <a:bodyPr/>
                  <a:lstStyle/>
                  <a:p>
                    <a:fld id="{74D1B57D-92E1-4551-819C-7AB046BB8AE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15A3-404F-ACEB-D7077AA73CEC}"/>
                </c:ext>
              </c:extLst>
            </c:dLbl>
            <c:dLbl>
              <c:idx val="1"/>
              <c:tx>
                <c:rich>
                  <a:bodyPr/>
                  <a:lstStyle/>
                  <a:p>
                    <a:fld id="{99C081EC-CB7C-4BC4-8930-2568A7CF7B17}"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445-4990-ADF5-A109C33204D4}"/>
                </c:ext>
              </c:extLst>
            </c:dLbl>
            <c:spPr>
              <a:noFill/>
              <a:ln>
                <a:noFill/>
              </a:ln>
              <a:effectLst/>
            </c:spPr>
            <c:txPr>
              <a:bodyPr rot="0" spcFirstLastPara="1" vertOverflow="ellipsis" vert="horz" wrap="none" anchor="ctr" anchorCtr="1"/>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 Report'!$C$42:$C$43</c:f>
              <c:strCache>
                <c:ptCount val="2"/>
                <c:pt idx="0">
                  <c:v>Admitted</c:v>
                </c:pt>
                <c:pt idx="1">
                  <c:v>Not Admitted</c:v>
                </c:pt>
              </c:strCache>
            </c:strRef>
          </c:cat>
          <c:val>
            <c:numRef>
              <c:f>'Pivot Report'!$C$42:$C$43</c:f>
              <c:numCache>
                <c:formatCode>0</c:formatCode>
                <c:ptCount val="2"/>
                <c:pt idx="0">
                  <c:v>234</c:v>
                </c:pt>
                <c:pt idx="1">
                  <c:v>260</c:v>
                </c:pt>
              </c:numCache>
            </c:numRef>
          </c:val>
          <c:extLst>
            <c:ext xmlns:c15="http://schemas.microsoft.com/office/drawing/2012/chart" uri="{02D57815-91ED-43cb-92C2-25804820EDAC}">
              <c15:datalabelsRange>
                <c15:f>'Pivot Report'!$C$42:$C$43</c15:f>
                <c15:dlblRangeCache>
                  <c:ptCount val="2"/>
                  <c:pt idx="0">
                    <c:v>47.37%</c:v>
                  </c:pt>
                  <c:pt idx="1">
                    <c:v>52.63%</c:v>
                  </c:pt>
                </c15:dlblRangeCache>
              </c15:datalabelsRange>
            </c:ext>
            <c:ext xmlns:c16="http://schemas.microsoft.com/office/drawing/2014/chart" uri="{C3380CC4-5D6E-409C-BE32-E72D297353CC}">
              <c16:uniqueId val="{00000002-2445-4990-ADF5-A109C33204D4}"/>
            </c:ext>
          </c:extLst>
        </c:ser>
        <c:ser>
          <c:idx val="1"/>
          <c:order val="1"/>
          <c:tx>
            <c:strRef>
              <c:f>'Pivot Report'!$C$42:$C$43</c:f>
              <c:strCache>
                <c:ptCount val="1"/>
                <c:pt idx="0">
                  <c:v>Count of Patient Admission Flag2</c:v>
                </c:pt>
              </c:strCache>
            </c:strRef>
          </c:tx>
          <c:spPr>
            <a:solidFill>
              <a:schemeClr val="accent2"/>
            </a:solidFill>
            <a:ln>
              <a:noFill/>
            </a:ln>
            <a:effectLst/>
          </c:spPr>
          <c:invertIfNegative val="0"/>
          <c:cat>
            <c:strRef>
              <c:f>'Pivot Report'!$C$42:$C$43</c:f>
              <c:strCache>
                <c:ptCount val="2"/>
                <c:pt idx="0">
                  <c:v>Admitted</c:v>
                </c:pt>
                <c:pt idx="1">
                  <c:v>Not Admitted</c:v>
                </c:pt>
              </c:strCache>
            </c:strRef>
          </c:cat>
          <c:val>
            <c:numRef>
              <c:f>'Pivot Report'!$C$42:$C$43</c:f>
              <c:numCache>
                <c:formatCode>0.00%</c:formatCode>
                <c:ptCount val="2"/>
                <c:pt idx="0">
                  <c:v>0.47368421052631576</c:v>
                </c:pt>
                <c:pt idx="1">
                  <c:v>0.52631578947368418</c:v>
                </c:pt>
              </c:numCache>
            </c:numRef>
          </c:val>
          <c:extLst>
            <c:ext xmlns:c16="http://schemas.microsoft.com/office/drawing/2014/chart" uri="{C3380CC4-5D6E-409C-BE32-E72D297353CC}">
              <c16:uniqueId val="{00000003-2445-4990-ADF5-A109C33204D4}"/>
            </c:ext>
          </c:extLst>
        </c:ser>
        <c:dLbls>
          <c:showLegendKey val="0"/>
          <c:showVal val="0"/>
          <c:showCatName val="0"/>
          <c:showSerName val="0"/>
          <c:showPercent val="0"/>
          <c:showBubbleSize val="0"/>
        </c:dLbls>
        <c:gapWidth val="0"/>
        <c:overlap val="4"/>
        <c:axId val="255222576"/>
        <c:axId val="239745360"/>
      </c:barChart>
      <c:catAx>
        <c:axId val="255222576"/>
        <c:scaling>
          <c:orientation val="minMax"/>
        </c:scaling>
        <c:delete val="1"/>
        <c:axPos val="l"/>
        <c:numFmt formatCode="General" sourceLinked="1"/>
        <c:majorTickMark val="none"/>
        <c:minorTickMark val="none"/>
        <c:tickLblPos val="nextTo"/>
        <c:crossAx val="239745360"/>
        <c:crosses val="autoZero"/>
        <c:auto val="1"/>
        <c:lblAlgn val="ctr"/>
        <c:lblOffset val="100"/>
        <c:noMultiLvlLbl val="0"/>
      </c:catAx>
      <c:valAx>
        <c:axId val="239745360"/>
        <c:scaling>
          <c:orientation val="minMax"/>
        </c:scaling>
        <c:delete val="1"/>
        <c:axPos val="b"/>
        <c:numFmt formatCode="0" sourceLinked="1"/>
        <c:majorTickMark val="none"/>
        <c:minorTickMark val="none"/>
        <c:tickLblPos val="nextTo"/>
        <c:crossAx val="25522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Report!PivotTable4</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809138489975949E-2"/>
          <c:y val="0.18941896772681618"/>
          <c:w val="0.93888888888888888"/>
          <c:h val="0.61651486756667739"/>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Report'!$D$5:$D$36</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Report'!$E$5:$E$36</c:f>
              <c:numCache>
                <c:formatCode>General</c:formatCode>
                <c:ptCount val="31"/>
                <c:pt idx="0">
                  <c:v>14</c:v>
                </c:pt>
                <c:pt idx="1">
                  <c:v>15</c:v>
                </c:pt>
                <c:pt idx="2">
                  <c:v>17</c:v>
                </c:pt>
                <c:pt idx="3">
                  <c:v>12</c:v>
                </c:pt>
                <c:pt idx="4">
                  <c:v>23</c:v>
                </c:pt>
                <c:pt idx="5">
                  <c:v>10</c:v>
                </c:pt>
                <c:pt idx="6">
                  <c:v>18</c:v>
                </c:pt>
                <c:pt idx="7">
                  <c:v>11</c:v>
                </c:pt>
                <c:pt idx="8">
                  <c:v>12</c:v>
                </c:pt>
                <c:pt idx="9">
                  <c:v>24</c:v>
                </c:pt>
                <c:pt idx="10">
                  <c:v>16</c:v>
                </c:pt>
                <c:pt idx="11">
                  <c:v>21</c:v>
                </c:pt>
                <c:pt idx="12">
                  <c:v>16</c:v>
                </c:pt>
                <c:pt idx="13">
                  <c:v>15</c:v>
                </c:pt>
                <c:pt idx="14">
                  <c:v>14</c:v>
                </c:pt>
                <c:pt idx="15">
                  <c:v>18</c:v>
                </c:pt>
                <c:pt idx="16">
                  <c:v>12</c:v>
                </c:pt>
                <c:pt idx="17">
                  <c:v>18</c:v>
                </c:pt>
                <c:pt idx="18">
                  <c:v>16</c:v>
                </c:pt>
                <c:pt idx="19">
                  <c:v>22</c:v>
                </c:pt>
                <c:pt idx="20">
                  <c:v>16</c:v>
                </c:pt>
                <c:pt idx="21">
                  <c:v>10</c:v>
                </c:pt>
                <c:pt idx="22">
                  <c:v>18</c:v>
                </c:pt>
                <c:pt idx="23">
                  <c:v>13</c:v>
                </c:pt>
                <c:pt idx="24">
                  <c:v>20</c:v>
                </c:pt>
                <c:pt idx="25">
                  <c:v>17</c:v>
                </c:pt>
                <c:pt idx="26">
                  <c:v>19</c:v>
                </c:pt>
                <c:pt idx="27">
                  <c:v>17</c:v>
                </c:pt>
                <c:pt idx="28">
                  <c:v>22</c:v>
                </c:pt>
                <c:pt idx="29">
                  <c:v>9</c:v>
                </c:pt>
                <c:pt idx="30">
                  <c:v>9</c:v>
                </c:pt>
              </c:numCache>
            </c:numRef>
          </c:val>
          <c:extLst>
            <c:ext xmlns:c16="http://schemas.microsoft.com/office/drawing/2014/chart" uri="{C3380CC4-5D6E-409C-BE32-E72D297353CC}">
              <c16:uniqueId val="{00000000-D877-4F2F-A6C5-49D71FF399F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442932495"/>
        <c:axId val="288806800"/>
      </c:areaChart>
      <c:catAx>
        <c:axId val="144293249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88806800"/>
        <c:crosses val="autoZero"/>
        <c:auto val="1"/>
        <c:lblAlgn val="ctr"/>
        <c:lblOffset val="100"/>
        <c:noMultiLvlLbl val="0"/>
      </c:catAx>
      <c:valAx>
        <c:axId val="288806800"/>
        <c:scaling>
          <c:orientation val="minMax"/>
        </c:scaling>
        <c:delete val="1"/>
        <c:axPos val="l"/>
        <c:numFmt formatCode="General" sourceLinked="1"/>
        <c:majorTickMark val="out"/>
        <c:minorTickMark val="none"/>
        <c:tickLblPos val="nextTo"/>
        <c:crossAx val="14429324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Report!PivotTable5</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6857421938441697"/>
          <c:w val="1"/>
          <c:h val="0.74756847932511383"/>
        </c:manualLayout>
      </c:layout>
      <c:areaChart>
        <c:grouping val="standard"/>
        <c:varyColors val="0"/>
        <c:ser>
          <c:idx val="0"/>
          <c:order val="0"/>
          <c:tx>
            <c:strRef>
              <c:f>'Pivot Report'!$I$4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Report'!$H$5:$H$36</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Report'!$I$5:$I$36</c:f>
              <c:numCache>
                <c:formatCode>0.00</c:formatCode>
                <c:ptCount val="31"/>
                <c:pt idx="0">
                  <c:v>35.714285714285715</c:v>
                </c:pt>
                <c:pt idx="1">
                  <c:v>38.533333333333331</c:v>
                </c:pt>
                <c:pt idx="2">
                  <c:v>38.941176470588232</c:v>
                </c:pt>
                <c:pt idx="3">
                  <c:v>35.666666666666664</c:v>
                </c:pt>
                <c:pt idx="4">
                  <c:v>39.478260869565219</c:v>
                </c:pt>
                <c:pt idx="5">
                  <c:v>25.1</c:v>
                </c:pt>
                <c:pt idx="6">
                  <c:v>43.666666666666664</c:v>
                </c:pt>
                <c:pt idx="7">
                  <c:v>38.090909090909093</c:v>
                </c:pt>
                <c:pt idx="8">
                  <c:v>28.25</c:v>
                </c:pt>
                <c:pt idx="9">
                  <c:v>36.291666666666664</c:v>
                </c:pt>
                <c:pt idx="10">
                  <c:v>31.875</c:v>
                </c:pt>
                <c:pt idx="11">
                  <c:v>32.333333333333336</c:v>
                </c:pt>
                <c:pt idx="12">
                  <c:v>36.3125</c:v>
                </c:pt>
                <c:pt idx="13">
                  <c:v>41.133333333333333</c:v>
                </c:pt>
                <c:pt idx="14">
                  <c:v>32.071428571428569</c:v>
                </c:pt>
                <c:pt idx="15">
                  <c:v>34.222222222222221</c:v>
                </c:pt>
                <c:pt idx="16">
                  <c:v>43.666666666666664</c:v>
                </c:pt>
                <c:pt idx="17">
                  <c:v>38.5</c:v>
                </c:pt>
                <c:pt idx="18">
                  <c:v>32.6875</c:v>
                </c:pt>
                <c:pt idx="19">
                  <c:v>41.045454545454547</c:v>
                </c:pt>
                <c:pt idx="20">
                  <c:v>36.6875</c:v>
                </c:pt>
                <c:pt idx="21">
                  <c:v>38.5</c:v>
                </c:pt>
                <c:pt idx="22">
                  <c:v>33.777777777777779</c:v>
                </c:pt>
                <c:pt idx="23">
                  <c:v>41.692307692307693</c:v>
                </c:pt>
                <c:pt idx="24">
                  <c:v>31.7</c:v>
                </c:pt>
                <c:pt idx="25">
                  <c:v>36.470588235294116</c:v>
                </c:pt>
                <c:pt idx="26">
                  <c:v>37.210526315789473</c:v>
                </c:pt>
                <c:pt idx="27">
                  <c:v>36.294117647058826</c:v>
                </c:pt>
                <c:pt idx="28">
                  <c:v>32</c:v>
                </c:pt>
                <c:pt idx="29">
                  <c:v>41.444444444444443</c:v>
                </c:pt>
                <c:pt idx="30">
                  <c:v>40.444444444444443</c:v>
                </c:pt>
              </c:numCache>
            </c:numRef>
          </c:val>
          <c:extLst>
            <c:ext xmlns:c16="http://schemas.microsoft.com/office/drawing/2014/chart" uri="{C3380CC4-5D6E-409C-BE32-E72D297353CC}">
              <c16:uniqueId val="{00000000-2156-461F-A686-DEF72A79A2B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55301920"/>
        <c:axId val="239745360"/>
      </c:areaChart>
      <c:catAx>
        <c:axId val="25530192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39745360"/>
        <c:crosses val="autoZero"/>
        <c:auto val="1"/>
        <c:lblAlgn val="ctr"/>
        <c:lblOffset val="100"/>
        <c:noMultiLvlLbl val="0"/>
      </c:catAx>
      <c:valAx>
        <c:axId val="239745360"/>
        <c:scaling>
          <c:orientation val="minMax"/>
        </c:scaling>
        <c:delete val="1"/>
        <c:axPos val="l"/>
        <c:numFmt formatCode="0.00" sourceLinked="1"/>
        <c:majorTickMark val="out"/>
        <c:minorTickMark val="none"/>
        <c:tickLblPos val="nextTo"/>
        <c:crossAx val="2553019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Report!PivotTable6</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296546677773404E-2"/>
          <c:y val="0.17129629629629628"/>
          <c:w val="0.92775245223915614"/>
          <c:h val="0.64986767279090119"/>
        </c:manualLayout>
      </c:layout>
      <c:areaChart>
        <c:grouping val="standard"/>
        <c:varyColors val="0"/>
        <c:ser>
          <c:idx val="0"/>
          <c:order val="0"/>
          <c:tx>
            <c:strRef>
              <c:f>'Pivot Report'!$M$4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Report'!$L$5:$L$36</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Report'!$M$5:$M$36</c:f>
              <c:numCache>
                <c:formatCode>0.0</c:formatCode>
                <c:ptCount val="31"/>
                <c:pt idx="0">
                  <c:v>8</c:v>
                </c:pt>
                <c:pt idx="1">
                  <c:v>4</c:v>
                </c:pt>
                <c:pt idx="2">
                  <c:v>5.333333333333333</c:v>
                </c:pt>
                <c:pt idx="3">
                  <c:v>4.666666666666667</c:v>
                </c:pt>
                <c:pt idx="4">
                  <c:v>6.2</c:v>
                </c:pt>
                <c:pt idx="5">
                  <c:v>6.333333333333333</c:v>
                </c:pt>
                <c:pt idx="6">
                  <c:v>9.5</c:v>
                </c:pt>
                <c:pt idx="7">
                  <c:v>2</c:v>
                </c:pt>
                <c:pt idx="8">
                  <c:v>6.666666666666667</c:v>
                </c:pt>
                <c:pt idx="9">
                  <c:v>2.25</c:v>
                </c:pt>
                <c:pt idx="10">
                  <c:v>3</c:v>
                </c:pt>
                <c:pt idx="11">
                  <c:v>4.7142857142857144</c:v>
                </c:pt>
                <c:pt idx="12">
                  <c:v>10</c:v>
                </c:pt>
                <c:pt idx="13">
                  <c:v>5.666666666666667</c:v>
                </c:pt>
                <c:pt idx="14">
                  <c:v>5</c:v>
                </c:pt>
                <c:pt idx="15">
                  <c:v>3</c:v>
                </c:pt>
                <c:pt idx="16">
                  <c:v>5.333333333333333</c:v>
                </c:pt>
                <c:pt idx="17">
                  <c:v>5.833333333333333</c:v>
                </c:pt>
                <c:pt idx="18">
                  <c:v>5.8</c:v>
                </c:pt>
                <c:pt idx="19">
                  <c:v>5.2</c:v>
                </c:pt>
                <c:pt idx="20">
                  <c:v>4.5</c:v>
                </c:pt>
                <c:pt idx="21">
                  <c:v>6</c:v>
                </c:pt>
                <c:pt idx="22">
                  <c:v>6.5</c:v>
                </c:pt>
                <c:pt idx="23">
                  <c:v>4.166666666666667</c:v>
                </c:pt>
                <c:pt idx="24">
                  <c:v>3.6666666666666665</c:v>
                </c:pt>
                <c:pt idx="25">
                  <c:v>3.5</c:v>
                </c:pt>
                <c:pt idx="26">
                  <c:v>6</c:v>
                </c:pt>
                <c:pt idx="27">
                  <c:v>5.1428571428571432</c:v>
                </c:pt>
                <c:pt idx="28">
                  <c:v>4</c:v>
                </c:pt>
                <c:pt idx="29">
                  <c:v>3.5</c:v>
                </c:pt>
                <c:pt idx="30">
                  <c:v>5</c:v>
                </c:pt>
              </c:numCache>
            </c:numRef>
          </c:val>
          <c:extLst>
            <c:ext xmlns:c16="http://schemas.microsoft.com/office/drawing/2014/chart" uri="{C3380CC4-5D6E-409C-BE32-E72D297353CC}">
              <c16:uniqueId val="{00000000-267C-4041-875B-EEA02ED9C18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55230464"/>
        <c:axId val="239638320"/>
      </c:areaChart>
      <c:catAx>
        <c:axId val="25523046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39638320"/>
        <c:crosses val="autoZero"/>
        <c:auto val="1"/>
        <c:lblAlgn val="ctr"/>
        <c:lblOffset val="100"/>
        <c:noMultiLvlLbl val="0"/>
      </c:catAx>
      <c:valAx>
        <c:axId val="239638320"/>
        <c:scaling>
          <c:orientation val="minMax"/>
        </c:scaling>
        <c:delete val="1"/>
        <c:axPos val="l"/>
        <c:numFmt formatCode="0.0" sourceLinked="1"/>
        <c:majorTickMark val="out"/>
        <c:minorTickMark val="none"/>
        <c:tickLblPos val="nextTo"/>
        <c:crossAx val="2552304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3.xml"/><Relationship Id="rId18" Type="http://schemas.openxmlformats.org/officeDocument/2006/relationships/image" Target="../media/image8.emf"/><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s'!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absolute">
    <xdr:from>
      <xdr:col>0</xdr:col>
      <xdr:colOff>26125</xdr:colOff>
      <xdr:row>0</xdr:row>
      <xdr:rowOff>91441</xdr:rowOff>
    </xdr:from>
    <xdr:to>
      <xdr:col>4</xdr:col>
      <xdr:colOff>14288</xdr:colOff>
      <xdr:row>2</xdr:row>
      <xdr:rowOff>104504</xdr:rowOff>
    </xdr:to>
    <xdr:sp macro="" textlink="">
      <xdr:nvSpPr>
        <xdr:cNvPr id="2" name="Rectangle: Rounded Corners 1">
          <a:extLst>
            <a:ext uri="{FF2B5EF4-FFF2-40B4-BE49-F238E27FC236}">
              <a16:creationId xmlns:a16="http://schemas.microsoft.com/office/drawing/2014/main" id="{53194E71-57C3-8A42-677C-30F31B7412C6}"/>
            </a:ext>
          </a:extLst>
        </xdr:cNvPr>
        <xdr:cNvSpPr/>
      </xdr:nvSpPr>
      <xdr:spPr>
        <a:xfrm>
          <a:off x="26125" y="91441"/>
          <a:ext cx="2426563" cy="37501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61913</xdr:colOff>
      <xdr:row>0</xdr:row>
      <xdr:rowOff>78378</xdr:rowOff>
    </xdr:from>
    <xdr:to>
      <xdr:col>5</xdr:col>
      <xdr:colOff>371475</xdr:colOff>
      <xdr:row>2</xdr:row>
      <xdr:rowOff>114300</xdr:rowOff>
    </xdr:to>
    <xdr:sp macro="" textlink="">
      <xdr:nvSpPr>
        <xdr:cNvPr id="3" name="Rectangle: Rounded Corners 2">
          <a:extLst>
            <a:ext uri="{FF2B5EF4-FFF2-40B4-BE49-F238E27FC236}">
              <a16:creationId xmlns:a16="http://schemas.microsoft.com/office/drawing/2014/main" id="{BF7C7AAB-CB87-7212-291C-52E237B8EB16}"/>
            </a:ext>
          </a:extLst>
        </xdr:cNvPr>
        <xdr:cNvSpPr/>
      </xdr:nvSpPr>
      <xdr:spPr>
        <a:xfrm>
          <a:off x="2500313" y="78378"/>
          <a:ext cx="919162" cy="39787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422093</xdr:colOff>
      <xdr:row>0</xdr:row>
      <xdr:rowOff>45039</xdr:rowOff>
    </xdr:from>
    <xdr:to>
      <xdr:col>7</xdr:col>
      <xdr:colOff>309562</xdr:colOff>
      <xdr:row>6</xdr:row>
      <xdr:rowOff>142875</xdr:rowOff>
    </xdr:to>
    <xdr:sp macro="" textlink="">
      <xdr:nvSpPr>
        <xdr:cNvPr id="4" name="Rectangle: Rounded Corners 3">
          <a:extLst>
            <a:ext uri="{FF2B5EF4-FFF2-40B4-BE49-F238E27FC236}">
              <a16:creationId xmlns:a16="http://schemas.microsoft.com/office/drawing/2014/main" id="{92EC3D65-ADFA-921E-A380-25D586EEE70C}"/>
            </a:ext>
          </a:extLst>
        </xdr:cNvPr>
        <xdr:cNvSpPr/>
      </xdr:nvSpPr>
      <xdr:spPr>
        <a:xfrm>
          <a:off x="3470093" y="45039"/>
          <a:ext cx="1106669" cy="118368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347663</xdr:colOff>
      <xdr:row>0</xdr:row>
      <xdr:rowOff>64088</xdr:rowOff>
    </xdr:from>
    <xdr:to>
      <xdr:col>9</xdr:col>
      <xdr:colOff>238125</xdr:colOff>
      <xdr:row>6</xdr:row>
      <xdr:rowOff>133350</xdr:rowOff>
    </xdr:to>
    <xdr:sp macro="" textlink="">
      <xdr:nvSpPr>
        <xdr:cNvPr id="5" name="Rectangle: Rounded Corners 4">
          <a:extLst>
            <a:ext uri="{FF2B5EF4-FFF2-40B4-BE49-F238E27FC236}">
              <a16:creationId xmlns:a16="http://schemas.microsoft.com/office/drawing/2014/main" id="{5C843275-5852-C22F-A056-10C0FE57F138}"/>
            </a:ext>
          </a:extLst>
        </xdr:cNvPr>
        <xdr:cNvSpPr/>
      </xdr:nvSpPr>
      <xdr:spPr>
        <a:xfrm>
          <a:off x="4614863" y="64088"/>
          <a:ext cx="1109662" cy="115511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4763</xdr:colOff>
      <xdr:row>2</xdr:row>
      <xdr:rowOff>156754</xdr:rowOff>
    </xdr:from>
    <xdr:to>
      <xdr:col>0</xdr:col>
      <xdr:colOff>590550</xdr:colOff>
      <xdr:row>16</xdr:row>
      <xdr:rowOff>76199</xdr:rowOff>
    </xdr:to>
    <xdr:sp macro="" textlink="">
      <xdr:nvSpPr>
        <xdr:cNvPr id="6" name="Rectangle: Rounded Corners 5">
          <a:extLst>
            <a:ext uri="{FF2B5EF4-FFF2-40B4-BE49-F238E27FC236}">
              <a16:creationId xmlns:a16="http://schemas.microsoft.com/office/drawing/2014/main" id="{6B15B39F-2443-2635-7905-F0F02B108EF4}"/>
            </a:ext>
          </a:extLst>
        </xdr:cNvPr>
        <xdr:cNvSpPr/>
      </xdr:nvSpPr>
      <xdr:spPr>
        <a:xfrm>
          <a:off x="4763" y="518704"/>
          <a:ext cx="585787" cy="245309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0</xdr:colOff>
      <xdr:row>2</xdr:row>
      <xdr:rowOff>161518</xdr:rowOff>
    </xdr:from>
    <xdr:to>
      <xdr:col>2</xdr:col>
      <xdr:colOff>309563</xdr:colOff>
      <xdr:row>6</xdr:row>
      <xdr:rowOff>174580</xdr:rowOff>
    </xdr:to>
    <xdr:sp macro="" textlink="">
      <xdr:nvSpPr>
        <xdr:cNvPr id="7" name="Rectangle: Rounded Corners 6">
          <a:extLst>
            <a:ext uri="{FF2B5EF4-FFF2-40B4-BE49-F238E27FC236}">
              <a16:creationId xmlns:a16="http://schemas.microsoft.com/office/drawing/2014/main" id="{B048FCE0-5D0B-33A5-917C-0375758A4128}"/>
            </a:ext>
          </a:extLst>
        </xdr:cNvPr>
        <xdr:cNvSpPr/>
      </xdr:nvSpPr>
      <xdr:spPr>
        <a:xfrm>
          <a:off x="609600" y="523468"/>
          <a:ext cx="919163" cy="73696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71438</xdr:colOff>
      <xdr:row>2</xdr:row>
      <xdr:rowOff>171041</xdr:rowOff>
    </xdr:from>
    <xdr:to>
      <xdr:col>5</xdr:col>
      <xdr:colOff>390526</xdr:colOff>
      <xdr:row>6</xdr:row>
      <xdr:rowOff>162332</xdr:rowOff>
    </xdr:to>
    <xdr:sp macro="" textlink="">
      <xdr:nvSpPr>
        <xdr:cNvPr id="8" name="Rectangle: Rounded Corners 7">
          <a:extLst>
            <a:ext uri="{FF2B5EF4-FFF2-40B4-BE49-F238E27FC236}">
              <a16:creationId xmlns:a16="http://schemas.microsoft.com/office/drawing/2014/main" id="{4422047D-4C61-49B4-400D-9BB331F068FF}"/>
            </a:ext>
          </a:extLst>
        </xdr:cNvPr>
        <xdr:cNvSpPr/>
      </xdr:nvSpPr>
      <xdr:spPr>
        <a:xfrm>
          <a:off x="2509838" y="532991"/>
          <a:ext cx="928688" cy="71519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352425</xdr:colOff>
      <xdr:row>2</xdr:row>
      <xdr:rowOff>161517</xdr:rowOff>
    </xdr:from>
    <xdr:to>
      <xdr:col>4</xdr:col>
      <xdr:colOff>23812</xdr:colOff>
      <xdr:row>6</xdr:row>
      <xdr:rowOff>161516</xdr:rowOff>
    </xdr:to>
    <xdr:sp macro="" textlink="">
      <xdr:nvSpPr>
        <xdr:cNvPr id="9" name="Rectangle: Rounded Corners 8">
          <a:extLst>
            <a:ext uri="{FF2B5EF4-FFF2-40B4-BE49-F238E27FC236}">
              <a16:creationId xmlns:a16="http://schemas.microsoft.com/office/drawing/2014/main" id="{700C7135-FFA1-1203-DC27-5BFCF0C231D8}"/>
            </a:ext>
          </a:extLst>
        </xdr:cNvPr>
        <xdr:cNvSpPr/>
      </xdr:nvSpPr>
      <xdr:spPr>
        <a:xfrm>
          <a:off x="1571625" y="523467"/>
          <a:ext cx="890587" cy="72389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8708</xdr:colOff>
      <xdr:row>10</xdr:row>
      <xdr:rowOff>33338</xdr:rowOff>
    </xdr:from>
    <xdr:to>
      <xdr:col>5</xdr:col>
      <xdr:colOff>342900</xdr:colOff>
      <xdr:row>16</xdr:row>
      <xdr:rowOff>90488</xdr:rowOff>
    </xdr:to>
    <xdr:sp macro="" textlink="">
      <xdr:nvSpPr>
        <xdr:cNvPr id="11" name="Rectangle: Rounded Corners 10">
          <a:extLst>
            <a:ext uri="{FF2B5EF4-FFF2-40B4-BE49-F238E27FC236}">
              <a16:creationId xmlns:a16="http://schemas.microsoft.com/office/drawing/2014/main" id="{4A18F1B4-34DC-3AFD-D409-726FE7E85BA8}"/>
            </a:ext>
          </a:extLst>
        </xdr:cNvPr>
        <xdr:cNvSpPr/>
      </xdr:nvSpPr>
      <xdr:spPr>
        <a:xfrm>
          <a:off x="618308" y="1843088"/>
          <a:ext cx="2772592" cy="1143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4353</xdr:colOff>
      <xdr:row>7</xdr:row>
      <xdr:rowOff>34836</xdr:rowOff>
    </xdr:from>
    <xdr:to>
      <xdr:col>5</xdr:col>
      <xdr:colOff>352424</xdr:colOff>
      <xdr:row>9</xdr:row>
      <xdr:rowOff>157163</xdr:rowOff>
    </xdr:to>
    <xdr:sp macro="" textlink="">
      <xdr:nvSpPr>
        <xdr:cNvPr id="13" name="Rectangle: Rounded Corners 12">
          <a:extLst>
            <a:ext uri="{FF2B5EF4-FFF2-40B4-BE49-F238E27FC236}">
              <a16:creationId xmlns:a16="http://schemas.microsoft.com/office/drawing/2014/main" id="{ADF7E384-E5F0-D8A4-AACD-DD184695C616}"/>
            </a:ext>
          </a:extLst>
        </xdr:cNvPr>
        <xdr:cNvSpPr/>
      </xdr:nvSpPr>
      <xdr:spPr>
        <a:xfrm>
          <a:off x="613953" y="1301661"/>
          <a:ext cx="2786471" cy="48427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376785</xdr:colOff>
      <xdr:row>6</xdr:row>
      <xdr:rowOff>176213</xdr:rowOff>
    </xdr:from>
    <xdr:to>
      <xdr:col>9</xdr:col>
      <xdr:colOff>285750</xdr:colOff>
      <xdr:row>16</xdr:row>
      <xdr:rowOff>80963</xdr:rowOff>
    </xdr:to>
    <xdr:sp macro="" textlink="">
      <xdr:nvSpPr>
        <xdr:cNvPr id="18" name="Rectangle: Rounded Corners 17">
          <a:extLst>
            <a:ext uri="{FF2B5EF4-FFF2-40B4-BE49-F238E27FC236}">
              <a16:creationId xmlns:a16="http://schemas.microsoft.com/office/drawing/2014/main" id="{8D2046AE-2C2C-DD54-311C-6477E9BA91A9}"/>
            </a:ext>
          </a:extLst>
        </xdr:cNvPr>
        <xdr:cNvSpPr/>
      </xdr:nvSpPr>
      <xdr:spPr>
        <a:xfrm>
          <a:off x="3424785" y="1262063"/>
          <a:ext cx="2347365" cy="17145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492035</xdr:colOff>
      <xdr:row>0</xdr:row>
      <xdr:rowOff>130629</xdr:rowOff>
    </xdr:from>
    <xdr:to>
      <xdr:col>3</xdr:col>
      <xdr:colOff>474618</xdr:colOff>
      <xdr:row>1</xdr:row>
      <xdr:rowOff>134983</xdr:rowOff>
    </xdr:to>
    <xdr:sp macro="" textlink="">
      <xdr:nvSpPr>
        <xdr:cNvPr id="20" name="TextBox 19">
          <a:extLst>
            <a:ext uri="{FF2B5EF4-FFF2-40B4-BE49-F238E27FC236}">
              <a16:creationId xmlns:a16="http://schemas.microsoft.com/office/drawing/2014/main" id="{F982CAA1-0C3F-8572-965D-6A89230E1CBD}"/>
            </a:ext>
          </a:extLst>
        </xdr:cNvPr>
        <xdr:cNvSpPr txBox="1"/>
      </xdr:nvSpPr>
      <xdr:spPr>
        <a:xfrm>
          <a:off x="492035" y="130629"/>
          <a:ext cx="1811383" cy="187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Hospital Emergency Room Dashboard</a:t>
          </a:r>
        </a:p>
      </xdr:txBody>
    </xdr:sp>
    <xdr:clientData/>
  </xdr:twoCellAnchor>
  <xdr:twoCellAnchor editAs="oneCell">
    <xdr:from>
      <xdr:col>0</xdr:col>
      <xdr:colOff>0</xdr:colOff>
      <xdr:row>0</xdr:row>
      <xdr:rowOff>126274</xdr:rowOff>
    </xdr:from>
    <xdr:to>
      <xdr:col>0</xdr:col>
      <xdr:colOff>605246</xdr:colOff>
      <xdr:row>2</xdr:row>
      <xdr:rowOff>156754</xdr:rowOff>
    </xdr:to>
    <xdr:pic>
      <xdr:nvPicPr>
        <xdr:cNvPr id="22" name="Picture 21">
          <a:extLst>
            <a:ext uri="{FF2B5EF4-FFF2-40B4-BE49-F238E27FC236}">
              <a16:creationId xmlns:a16="http://schemas.microsoft.com/office/drawing/2014/main" id="{75057EB2-EEF8-41E1-DEE8-7C2D0BF1897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017" t="-4" r="877" b="-19702"/>
        <a:stretch>
          <a:fillRect/>
        </a:stretch>
      </xdr:blipFill>
      <xdr:spPr>
        <a:xfrm>
          <a:off x="0" y="126274"/>
          <a:ext cx="605246" cy="396240"/>
        </a:xfrm>
        <a:prstGeom prst="rect">
          <a:avLst/>
        </a:prstGeom>
      </xdr:spPr>
    </xdr:pic>
    <xdr:clientData/>
  </xdr:twoCellAnchor>
  <xdr:twoCellAnchor editAs="absolute">
    <xdr:from>
      <xdr:col>0</xdr:col>
      <xdr:colOff>444137</xdr:colOff>
      <xdr:row>1</xdr:row>
      <xdr:rowOff>100149</xdr:rowOff>
    </xdr:from>
    <xdr:to>
      <xdr:col>3</xdr:col>
      <xdr:colOff>426720</xdr:colOff>
      <xdr:row>2</xdr:row>
      <xdr:rowOff>104503</xdr:rowOff>
    </xdr:to>
    <xdr:sp macro="" textlink="">
      <xdr:nvSpPr>
        <xdr:cNvPr id="23" name="TextBox 22">
          <a:extLst>
            <a:ext uri="{FF2B5EF4-FFF2-40B4-BE49-F238E27FC236}">
              <a16:creationId xmlns:a16="http://schemas.microsoft.com/office/drawing/2014/main" id="{7D76E82F-ABF1-1EE0-0A21-B6ED0EDFCACB}"/>
            </a:ext>
          </a:extLst>
        </xdr:cNvPr>
        <xdr:cNvSpPr txBox="1"/>
      </xdr:nvSpPr>
      <xdr:spPr>
        <a:xfrm>
          <a:off x="444137" y="283029"/>
          <a:ext cx="1811383" cy="187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Monthly</a:t>
          </a:r>
          <a:r>
            <a:rPr lang="en-IN" sz="800" baseline="0"/>
            <a:t> Report</a:t>
          </a:r>
          <a:endParaRPr lang="en-IN" sz="800"/>
        </a:p>
      </xdr:txBody>
    </xdr:sp>
    <xdr:clientData/>
  </xdr:twoCellAnchor>
  <xdr:twoCellAnchor editAs="absolute">
    <xdr:from>
      <xdr:col>1</xdr:col>
      <xdr:colOff>31705</xdr:colOff>
      <xdr:row>4</xdr:row>
      <xdr:rowOff>64635</xdr:rowOff>
    </xdr:from>
    <xdr:to>
      <xdr:col>2</xdr:col>
      <xdr:colOff>214586</xdr:colOff>
      <xdr:row>5</xdr:row>
      <xdr:rowOff>68989</xdr:rowOff>
    </xdr:to>
    <xdr:sp macro="" textlink="">
      <xdr:nvSpPr>
        <xdr:cNvPr id="24" name="TextBox 23">
          <a:extLst>
            <a:ext uri="{FF2B5EF4-FFF2-40B4-BE49-F238E27FC236}">
              <a16:creationId xmlns:a16="http://schemas.microsoft.com/office/drawing/2014/main" id="{9AD729F5-3687-2EAD-6F61-D1EEF03A38A2}"/>
            </a:ext>
          </a:extLst>
        </xdr:cNvPr>
        <xdr:cNvSpPr txBox="1"/>
      </xdr:nvSpPr>
      <xdr:spPr>
        <a:xfrm>
          <a:off x="641305" y="788535"/>
          <a:ext cx="792481" cy="185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No.</a:t>
          </a:r>
          <a:r>
            <a:rPr lang="en-IN" sz="800" baseline="0"/>
            <a:t> Of Patient</a:t>
          </a:r>
          <a:endParaRPr lang="en-IN" sz="800"/>
        </a:p>
      </xdr:txBody>
    </xdr:sp>
    <xdr:clientData/>
  </xdr:twoCellAnchor>
  <xdr:twoCellAnchor editAs="absolute">
    <xdr:from>
      <xdr:col>1</xdr:col>
      <xdr:colOff>41637</xdr:colOff>
      <xdr:row>3</xdr:row>
      <xdr:rowOff>94435</xdr:rowOff>
    </xdr:from>
    <xdr:to>
      <xdr:col>2</xdr:col>
      <xdr:colOff>238125</xdr:colOff>
      <xdr:row>4</xdr:row>
      <xdr:rowOff>98789</xdr:rowOff>
    </xdr:to>
    <xdr:sp macro="" textlink="'Pivot Report'!A5">
      <xdr:nvSpPr>
        <xdr:cNvPr id="25" name="TextBox 24">
          <a:extLst>
            <a:ext uri="{FF2B5EF4-FFF2-40B4-BE49-F238E27FC236}">
              <a16:creationId xmlns:a16="http://schemas.microsoft.com/office/drawing/2014/main" id="{A8A4583A-F918-495B-DF7D-DD2D40AF0D4F}"/>
            </a:ext>
          </a:extLst>
        </xdr:cNvPr>
        <xdr:cNvSpPr txBox="1"/>
      </xdr:nvSpPr>
      <xdr:spPr>
        <a:xfrm>
          <a:off x="651237" y="637360"/>
          <a:ext cx="806088" cy="185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7806401A-4B80-4B13-8055-A4449C9D65F2}" type="TxLink">
            <a:rPr lang="en-US" sz="1100" b="0" i="0" u="none" strike="noStrike">
              <a:solidFill>
                <a:srgbClr val="000000"/>
              </a:solidFill>
              <a:latin typeface="Aptos Narrow"/>
            </a:rPr>
            <a:pPr algn="ctr"/>
            <a:t>494</a:t>
          </a:fld>
          <a:endParaRPr lang="en-IN" sz="800"/>
        </a:p>
      </xdr:txBody>
    </xdr:sp>
    <xdr:clientData/>
  </xdr:twoCellAnchor>
  <xdr:twoCellAnchor editAs="absolute">
    <xdr:from>
      <xdr:col>2</xdr:col>
      <xdr:colOff>405884</xdr:colOff>
      <xdr:row>4</xdr:row>
      <xdr:rowOff>47626</xdr:rowOff>
    </xdr:from>
    <xdr:to>
      <xdr:col>3</xdr:col>
      <xdr:colOff>563472</xdr:colOff>
      <xdr:row>5</xdr:row>
      <xdr:rowOff>51980</xdr:rowOff>
    </xdr:to>
    <xdr:sp macro="" textlink="">
      <xdr:nvSpPr>
        <xdr:cNvPr id="26" name="TextBox 25">
          <a:extLst>
            <a:ext uri="{FF2B5EF4-FFF2-40B4-BE49-F238E27FC236}">
              <a16:creationId xmlns:a16="http://schemas.microsoft.com/office/drawing/2014/main" id="{555BB427-0978-42ED-55DC-D9B53C468ECB}"/>
            </a:ext>
          </a:extLst>
        </xdr:cNvPr>
        <xdr:cNvSpPr txBox="1"/>
      </xdr:nvSpPr>
      <xdr:spPr>
        <a:xfrm>
          <a:off x="1625084" y="771526"/>
          <a:ext cx="767188" cy="185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Average</a:t>
          </a:r>
          <a:r>
            <a:rPr lang="en-IN" sz="800" baseline="0"/>
            <a:t> Wait Time</a:t>
          </a:r>
          <a:endParaRPr lang="en-IN" sz="800"/>
        </a:p>
      </xdr:txBody>
    </xdr:sp>
    <xdr:clientData/>
  </xdr:twoCellAnchor>
  <xdr:twoCellAnchor editAs="absolute">
    <xdr:from>
      <xdr:col>2</xdr:col>
      <xdr:colOff>397602</xdr:colOff>
      <xdr:row>3</xdr:row>
      <xdr:rowOff>94026</xdr:rowOff>
    </xdr:from>
    <xdr:to>
      <xdr:col>3</xdr:col>
      <xdr:colOff>580481</xdr:colOff>
      <xdr:row>4</xdr:row>
      <xdr:rowOff>98380</xdr:rowOff>
    </xdr:to>
    <xdr:sp macro="" textlink="'Pivot Report'!A9">
      <xdr:nvSpPr>
        <xdr:cNvPr id="27" name="TextBox 26">
          <a:extLst>
            <a:ext uri="{FF2B5EF4-FFF2-40B4-BE49-F238E27FC236}">
              <a16:creationId xmlns:a16="http://schemas.microsoft.com/office/drawing/2014/main" id="{013AC056-CBE3-5891-0C22-EFA3369DD5CC}"/>
            </a:ext>
          </a:extLst>
        </xdr:cNvPr>
        <xdr:cNvSpPr txBox="1"/>
      </xdr:nvSpPr>
      <xdr:spPr>
        <a:xfrm>
          <a:off x="1616802" y="636951"/>
          <a:ext cx="792479" cy="185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1B34B65-1231-4676-A379-BA6776E8AEFA}" type="TxLink">
            <a:rPr lang="en-US" sz="1100" b="0" i="0" u="none" strike="noStrike">
              <a:solidFill>
                <a:srgbClr val="000000"/>
              </a:solidFill>
              <a:latin typeface="Aptos Narrow"/>
            </a:rPr>
            <a:pPr algn="ctr"/>
            <a:t>36.39</a:t>
          </a:fld>
          <a:endParaRPr lang="en-IN" sz="800"/>
        </a:p>
      </xdr:txBody>
    </xdr:sp>
    <xdr:clientData/>
  </xdr:twoCellAnchor>
  <xdr:twoCellAnchor editAs="absolute">
    <xdr:from>
      <xdr:col>4</xdr:col>
      <xdr:colOff>163132</xdr:colOff>
      <xdr:row>4</xdr:row>
      <xdr:rowOff>46401</xdr:rowOff>
    </xdr:from>
    <xdr:to>
      <xdr:col>5</xdr:col>
      <xdr:colOff>320720</xdr:colOff>
      <xdr:row>5</xdr:row>
      <xdr:rowOff>50755</xdr:rowOff>
    </xdr:to>
    <xdr:sp macro="" textlink="">
      <xdr:nvSpPr>
        <xdr:cNvPr id="29" name="TextBox 28">
          <a:extLst>
            <a:ext uri="{FF2B5EF4-FFF2-40B4-BE49-F238E27FC236}">
              <a16:creationId xmlns:a16="http://schemas.microsoft.com/office/drawing/2014/main" id="{AE5AEE15-106A-9A83-9E3E-129AE6C18EF1}"/>
            </a:ext>
          </a:extLst>
        </xdr:cNvPr>
        <xdr:cNvSpPr txBox="1"/>
      </xdr:nvSpPr>
      <xdr:spPr>
        <a:xfrm>
          <a:off x="2601532" y="770301"/>
          <a:ext cx="767188" cy="185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a:t>Satisfaction</a:t>
          </a:r>
          <a:r>
            <a:rPr lang="en-IN" sz="800" baseline="0"/>
            <a:t> Score</a:t>
          </a:r>
          <a:endParaRPr lang="en-IN" sz="800"/>
        </a:p>
      </xdr:txBody>
    </xdr:sp>
    <xdr:clientData/>
  </xdr:twoCellAnchor>
  <xdr:twoCellAnchor editAs="absolute">
    <xdr:from>
      <xdr:col>4</xdr:col>
      <xdr:colOff>128723</xdr:colOff>
      <xdr:row>3</xdr:row>
      <xdr:rowOff>84502</xdr:rowOff>
    </xdr:from>
    <xdr:to>
      <xdr:col>5</xdr:col>
      <xdr:colOff>311602</xdr:colOff>
      <xdr:row>4</xdr:row>
      <xdr:rowOff>88856</xdr:rowOff>
    </xdr:to>
    <xdr:sp macro="" textlink="'Pivot Report'!A12">
      <xdr:nvSpPr>
        <xdr:cNvPr id="30" name="TextBox 29">
          <a:extLst>
            <a:ext uri="{FF2B5EF4-FFF2-40B4-BE49-F238E27FC236}">
              <a16:creationId xmlns:a16="http://schemas.microsoft.com/office/drawing/2014/main" id="{2AFEF560-A50C-7AE9-197D-5E745F5C42AA}"/>
            </a:ext>
          </a:extLst>
        </xdr:cNvPr>
        <xdr:cNvSpPr txBox="1"/>
      </xdr:nvSpPr>
      <xdr:spPr>
        <a:xfrm>
          <a:off x="2567123" y="627427"/>
          <a:ext cx="792479" cy="185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696D8F17-2573-4A84-8EA8-DFA35874250E}" type="TxLink">
            <a:rPr lang="en-US" sz="1100" b="0" i="0" u="none" strike="noStrike">
              <a:solidFill>
                <a:srgbClr val="000000"/>
              </a:solidFill>
              <a:latin typeface="Aptos Narrow"/>
            </a:rPr>
            <a:pPr algn="ctr"/>
            <a:t>5.06</a:t>
          </a:fld>
          <a:endParaRPr lang="en-IN" sz="800"/>
        </a:p>
      </xdr:txBody>
    </xdr:sp>
    <xdr:clientData/>
  </xdr:twoCellAnchor>
  <xdr:twoCellAnchor editAs="oneCell">
    <xdr:from>
      <xdr:col>2</xdr:col>
      <xdr:colOff>43122</xdr:colOff>
      <xdr:row>3</xdr:row>
      <xdr:rowOff>13064</xdr:rowOff>
    </xdr:from>
    <xdr:to>
      <xdr:col>2</xdr:col>
      <xdr:colOff>271426</xdr:colOff>
      <xdr:row>3</xdr:row>
      <xdr:rowOff>171450</xdr:rowOff>
    </xdr:to>
    <xdr:pic>
      <xdr:nvPicPr>
        <xdr:cNvPr id="32" name="Graphic 31" descr="Male profile with solid fill">
          <a:extLst>
            <a:ext uri="{FF2B5EF4-FFF2-40B4-BE49-F238E27FC236}">
              <a16:creationId xmlns:a16="http://schemas.microsoft.com/office/drawing/2014/main" id="{79D68C73-0671-A88E-716F-A1DF9C4D3DE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262322" y="555989"/>
          <a:ext cx="228304" cy="158386"/>
        </a:xfrm>
        <a:prstGeom prst="rect">
          <a:avLst/>
        </a:prstGeom>
      </xdr:spPr>
    </xdr:pic>
    <xdr:clientData/>
  </xdr:twoCellAnchor>
  <xdr:twoCellAnchor editAs="oneCell">
    <xdr:from>
      <xdr:col>3</xdr:col>
      <xdr:colOff>394562</xdr:colOff>
      <xdr:row>3</xdr:row>
      <xdr:rowOff>2314</xdr:rowOff>
    </xdr:from>
    <xdr:to>
      <xdr:col>3</xdr:col>
      <xdr:colOff>604837</xdr:colOff>
      <xdr:row>4</xdr:row>
      <xdr:rowOff>38706</xdr:rowOff>
    </xdr:to>
    <xdr:pic>
      <xdr:nvPicPr>
        <xdr:cNvPr id="34" name="Graphic 33" descr="Hourglass Finished with solid fill">
          <a:extLst>
            <a:ext uri="{FF2B5EF4-FFF2-40B4-BE49-F238E27FC236}">
              <a16:creationId xmlns:a16="http://schemas.microsoft.com/office/drawing/2014/main" id="{E1EA31EA-B7C8-5172-4FA6-FE0EB6CAE6F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223362" y="545239"/>
          <a:ext cx="210275" cy="217367"/>
        </a:xfrm>
        <a:prstGeom prst="rect">
          <a:avLst/>
        </a:prstGeom>
      </xdr:spPr>
    </xdr:pic>
    <xdr:clientData/>
  </xdr:twoCellAnchor>
  <xdr:twoCellAnchor editAs="oneCell">
    <xdr:from>
      <xdr:col>5</xdr:col>
      <xdr:colOff>65610</xdr:colOff>
      <xdr:row>3</xdr:row>
      <xdr:rowOff>0</xdr:rowOff>
    </xdr:from>
    <xdr:to>
      <xdr:col>5</xdr:col>
      <xdr:colOff>366713</xdr:colOff>
      <xdr:row>4</xdr:row>
      <xdr:rowOff>9989</xdr:rowOff>
    </xdr:to>
    <xdr:pic>
      <xdr:nvPicPr>
        <xdr:cNvPr id="36" name="Graphic 35" descr="Star with solid fill">
          <a:extLst>
            <a:ext uri="{FF2B5EF4-FFF2-40B4-BE49-F238E27FC236}">
              <a16:creationId xmlns:a16="http://schemas.microsoft.com/office/drawing/2014/main" id="{9DA480BA-9D0C-332D-6DF6-46635C80760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113610" y="542925"/>
          <a:ext cx="301103" cy="190964"/>
        </a:xfrm>
        <a:prstGeom prst="rect">
          <a:avLst/>
        </a:prstGeom>
      </xdr:spPr>
    </xdr:pic>
    <xdr:clientData/>
  </xdr:twoCellAnchor>
  <xdr:twoCellAnchor editAs="oneCell">
    <xdr:from>
      <xdr:col>0</xdr:col>
      <xdr:colOff>57150</xdr:colOff>
      <xdr:row>2</xdr:row>
      <xdr:rowOff>180974</xdr:rowOff>
    </xdr:from>
    <xdr:to>
      <xdr:col>0</xdr:col>
      <xdr:colOff>552600</xdr:colOff>
      <xdr:row>15</xdr:row>
      <xdr:rowOff>168299</xdr:rowOff>
    </xdr:to>
    <mc:AlternateContent xmlns:mc="http://schemas.openxmlformats.org/markup-compatibility/2006" xmlns:a14="http://schemas.microsoft.com/office/drawing/2010/main">
      <mc:Choice Requires="a14">
        <xdr:graphicFrame macro="">
          <xdr:nvGraphicFramePr>
            <xdr:cNvPr id="41" name="Date (Month)">
              <a:extLst>
                <a:ext uri="{FF2B5EF4-FFF2-40B4-BE49-F238E27FC236}">
                  <a16:creationId xmlns:a16="http://schemas.microsoft.com/office/drawing/2014/main" id="{8F13A3F4-2D3D-409C-A906-01163440C091}"/>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57150" y="548119"/>
              <a:ext cx="495450" cy="23737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38100</xdr:colOff>
      <xdr:row>5</xdr:row>
      <xdr:rowOff>9524</xdr:rowOff>
    </xdr:from>
    <xdr:to>
      <xdr:col>2</xdr:col>
      <xdr:colOff>295275</xdr:colOff>
      <xdr:row>6</xdr:row>
      <xdr:rowOff>171450</xdr:rowOff>
    </xdr:to>
    <xdr:graphicFrame macro="">
      <xdr:nvGraphicFramePr>
        <xdr:cNvPr id="44" name="Chart 43">
          <a:hlinkClick xmlns:r="http://schemas.openxmlformats.org/officeDocument/2006/relationships" r:id="rId8"/>
          <a:extLst>
            <a:ext uri="{FF2B5EF4-FFF2-40B4-BE49-F238E27FC236}">
              <a16:creationId xmlns:a16="http://schemas.microsoft.com/office/drawing/2014/main" id="{11726A9C-60B9-4739-A15D-4D800D9104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414337</xdr:colOff>
      <xdr:row>5</xdr:row>
      <xdr:rowOff>95251</xdr:rowOff>
    </xdr:from>
    <xdr:to>
      <xdr:col>3</xdr:col>
      <xdr:colOff>571500</xdr:colOff>
      <xdr:row>6</xdr:row>
      <xdr:rowOff>152400</xdr:rowOff>
    </xdr:to>
    <xdr:graphicFrame macro="">
      <xdr:nvGraphicFramePr>
        <xdr:cNvPr id="47" name="Chart 46">
          <a:hlinkClick xmlns:r="http://schemas.openxmlformats.org/officeDocument/2006/relationships" r:id="rId10"/>
          <a:extLst>
            <a:ext uri="{FF2B5EF4-FFF2-40B4-BE49-F238E27FC236}">
              <a16:creationId xmlns:a16="http://schemas.microsoft.com/office/drawing/2014/main" id="{623ACBCF-74E9-449A-A9CD-FB769E029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90487</xdr:colOff>
      <xdr:row>4</xdr:row>
      <xdr:rowOff>14289</xdr:rowOff>
    </xdr:from>
    <xdr:to>
      <xdr:col>5</xdr:col>
      <xdr:colOff>409575</xdr:colOff>
      <xdr:row>6</xdr:row>
      <xdr:rowOff>133350</xdr:rowOff>
    </xdr:to>
    <xdr:graphicFrame macro="">
      <xdr:nvGraphicFramePr>
        <xdr:cNvPr id="48" name="Chart 47">
          <a:hlinkClick xmlns:r="http://schemas.openxmlformats.org/officeDocument/2006/relationships" r:id="rId12"/>
          <a:extLst>
            <a:ext uri="{FF2B5EF4-FFF2-40B4-BE49-F238E27FC236}">
              <a16:creationId xmlns:a16="http://schemas.microsoft.com/office/drawing/2014/main" id="{3930EAE3-DAE3-4DFF-94FB-8AC831CC02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14287</xdr:colOff>
      <xdr:row>11</xdr:row>
      <xdr:rowOff>4762</xdr:rowOff>
    </xdr:from>
    <xdr:to>
      <xdr:col>5</xdr:col>
      <xdr:colOff>152400</xdr:colOff>
      <xdr:row>15</xdr:row>
      <xdr:rowOff>109537</xdr:rowOff>
    </xdr:to>
    <xdr:graphicFrame macro="">
      <xdr:nvGraphicFramePr>
        <xdr:cNvPr id="52" name="Chart 51">
          <a:extLst>
            <a:ext uri="{FF2B5EF4-FFF2-40B4-BE49-F238E27FC236}">
              <a16:creationId xmlns:a16="http://schemas.microsoft.com/office/drawing/2014/main" id="{2A2EC690-7133-4C13-86A7-EA01B36AAB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2</xdr:col>
      <xdr:colOff>9525</xdr:colOff>
      <xdr:row>15</xdr:row>
      <xdr:rowOff>107497</xdr:rowOff>
    </xdr:from>
    <xdr:to>
      <xdr:col>4</xdr:col>
      <xdr:colOff>161925</xdr:colOff>
      <xdr:row>16</xdr:row>
      <xdr:rowOff>114300</xdr:rowOff>
    </xdr:to>
    <xdr:sp macro="" textlink="">
      <xdr:nvSpPr>
        <xdr:cNvPr id="53" name="TextBox 52">
          <a:extLst>
            <a:ext uri="{FF2B5EF4-FFF2-40B4-BE49-F238E27FC236}">
              <a16:creationId xmlns:a16="http://schemas.microsoft.com/office/drawing/2014/main" id="{D833ED7C-C11D-4934-8EE6-30AC638ACA94}"/>
            </a:ext>
          </a:extLst>
        </xdr:cNvPr>
        <xdr:cNvSpPr txBox="1"/>
      </xdr:nvSpPr>
      <xdr:spPr>
        <a:xfrm>
          <a:off x="1228725" y="2822122"/>
          <a:ext cx="1371600" cy="187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700"/>
            <a:t>No.</a:t>
          </a:r>
          <a:r>
            <a:rPr lang="en-IN" sz="700" baseline="0"/>
            <a:t> Of Patient by Age Group</a:t>
          </a:r>
          <a:endParaRPr lang="en-IN" sz="700"/>
        </a:p>
      </xdr:txBody>
    </xdr:sp>
    <xdr:clientData/>
  </xdr:twoCellAnchor>
  <xdr:twoCellAnchor>
    <xdr:from>
      <xdr:col>5</xdr:col>
      <xdr:colOff>447677</xdr:colOff>
      <xdr:row>0</xdr:row>
      <xdr:rowOff>66675</xdr:rowOff>
    </xdr:from>
    <xdr:to>
      <xdr:col>7</xdr:col>
      <xdr:colOff>242888</xdr:colOff>
      <xdr:row>6</xdr:row>
      <xdr:rowOff>71438</xdr:rowOff>
    </xdr:to>
    <xdr:graphicFrame macro="">
      <xdr:nvGraphicFramePr>
        <xdr:cNvPr id="55" name="Chart 54">
          <a:extLst>
            <a:ext uri="{FF2B5EF4-FFF2-40B4-BE49-F238E27FC236}">
              <a16:creationId xmlns:a16="http://schemas.microsoft.com/office/drawing/2014/main" id="{92DA3AB0-A5F3-4941-992B-0A52806C7A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428626</xdr:colOff>
      <xdr:row>0</xdr:row>
      <xdr:rowOff>95250</xdr:rowOff>
    </xdr:from>
    <xdr:to>
      <xdr:col>9</xdr:col>
      <xdr:colOff>180976</xdr:colOff>
      <xdr:row>5</xdr:row>
      <xdr:rowOff>100012</xdr:rowOff>
    </xdr:to>
    <xdr:graphicFrame macro="">
      <xdr:nvGraphicFramePr>
        <xdr:cNvPr id="56" name="Chart 55">
          <a:extLst>
            <a:ext uri="{FF2B5EF4-FFF2-40B4-BE49-F238E27FC236}">
              <a16:creationId xmlns:a16="http://schemas.microsoft.com/office/drawing/2014/main" id="{C3EEEB81-759F-4F5C-B085-E8456668FA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447676</xdr:colOff>
      <xdr:row>5</xdr:row>
      <xdr:rowOff>25988</xdr:rowOff>
    </xdr:from>
    <xdr:to>
      <xdr:col>9</xdr:col>
      <xdr:colOff>134937</xdr:colOff>
      <xdr:row>6</xdr:row>
      <xdr:rowOff>30342</xdr:rowOff>
    </xdr:to>
    <xdr:sp macro="" textlink="">
      <xdr:nvSpPr>
        <xdr:cNvPr id="59" name="TextBox 23">
          <a:extLst>
            <a:ext uri="{FF2B5EF4-FFF2-40B4-BE49-F238E27FC236}">
              <a16:creationId xmlns:a16="http://schemas.microsoft.com/office/drawing/2014/main" id="{92DC0949-FE44-F3DC-D6BB-9F422FA9D85B}"/>
            </a:ext>
          </a:extLst>
        </xdr:cNvPr>
        <xdr:cNvSpPr txBox="1"/>
      </xdr:nvSpPr>
      <xdr:spPr>
        <a:xfrm>
          <a:off x="4714876" y="930863"/>
          <a:ext cx="906461" cy="185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800"/>
            <a:t>Gender</a:t>
          </a:r>
          <a:r>
            <a:rPr lang="en-IN" sz="800" baseline="0"/>
            <a:t> Wise Analysis</a:t>
          </a:r>
          <a:endParaRPr lang="en-IN" sz="800"/>
        </a:p>
      </xdr:txBody>
    </xdr:sp>
    <xdr:clientData/>
  </xdr:twoCellAnchor>
  <xdr:twoCellAnchor>
    <xdr:from>
      <xdr:col>5</xdr:col>
      <xdr:colOff>419100</xdr:colOff>
      <xdr:row>8</xdr:row>
      <xdr:rowOff>28576</xdr:rowOff>
    </xdr:from>
    <xdr:to>
      <xdr:col>9</xdr:col>
      <xdr:colOff>66675</xdr:colOff>
      <xdr:row>16</xdr:row>
      <xdr:rowOff>9526</xdr:rowOff>
    </xdr:to>
    <xdr:graphicFrame macro="">
      <xdr:nvGraphicFramePr>
        <xdr:cNvPr id="60" name="Chart 59">
          <a:extLst>
            <a:ext uri="{FF2B5EF4-FFF2-40B4-BE49-F238E27FC236}">
              <a16:creationId xmlns:a16="http://schemas.microsoft.com/office/drawing/2014/main" id="{32747336-814A-4A39-89F6-0C3CBCEE4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52388</xdr:colOff>
      <xdr:row>14</xdr:row>
      <xdr:rowOff>173897</xdr:rowOff>
    </xdr:from>
    <xdr:to>
      <xdr:col>8</xdr:col>
      <xdr:colOff>433388</xdr:colOff>
      <xdr:row>15</xdr:row>
      <xdr:rowOff>178251</xdr:rowOff>
    </xdr:to>
    <xdr:sp macro="" textlink="">
      <xdr:nvSpPr>
        <xdr:cNvPr id="61" name="TextBox 23">
          <a:extLst>
            <a:ext uri="{FF2B5EF4-FFF2-40B4-BE49-F238E27FC236}">
              <a16:creationId xmlns:a16="http://schemas.microsoft.com/office/drawing/2014/main" id="{E011AFC6-C545-4466-84E7-39916771A032}"/>
            </a:ext>
          </a:extLst>
        </xdr:cNvPr>
        <xdr:cNvSpPr txBox="1"/>
      </xdr:nvSpPr>
      <xdr:spPr>
        <a:xfrm>
          <a:off x="3709988" y="2707547"/>
          <a:ext cx="1600200" cy="185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IN" sz="800" b="1"/>
            <a:t>No.</a:t>
          </a:r>
          <a:r>
            <a:rPr lang="en-IN" sz="800" b="1" baseline="0"/>
            <a:t> of Patient by Department Referal</a:t>
          </a:r>
          <a:endParaRPr lang="en-IN" sz="800" b="1"/>
        </a:p>
      </xdr:txBody>
    </xdr:sp>
    <xdr:clientData/>
  </xdr:twoCellAnchor>
  <xdr:twoCellAnchor editAs="oneCell">
    <xdr:from>
      <xdr:col>4</xdr:col>
      <xdr:colOff>85725</xdr:colOff>
      <xdr:row>0</xdr:row>
      <xdr:rowOff>123824</xdr:rowOff>
    </xdr:from>
    <xdr:to>
      <xdr:col>5</xdr:col>
      <xdr:colOff>323850</xdr:colOff>
      <xdr:row>2</xdr:row>
      <xdr:rowOff>76199</xdr:rowOff>
    </xdr:to>
    <mc:AlternateContent xmlns:mc="http://schemas.openxmlformats.org/markup-compatibility/2006" xmlns:a14="http://schemas.microsoft.com/office/drawing/2010/main">
      <mc:Choice Requires="a14">
        <xdr:graphicFrame macro="">
          <xdr:nvGraphicFramePr>
            <xdr:cNvPr id="62" name="Date (Year)">
              <a:extLst>
                <a:ext uri="{FF2B5EF4-FFF2-40B4-BE49-F238E27FC236}">
                  <a16:creationId xmlns:a16="http://schemas.microsoft.com/office/drawing/2014/main" id="{4781B1A6-1F52-4FA1-B54B-B92EBFDAF35B}"/>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2524125" y="123824"/>
              <a:ext cx="847725" cy="319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0</xdr:col>
          <xdr:colOff>590550</xdr:colOff>
          <xdr:row>7</xdr:row>
          <xdr:rowOff>29144</xdr:rowOff>
        </xdr:from>
        <xdr:to>
          <xdr:col>5</xdr:col>
          <xdr:colOff>357188</xdr:colOff>
          <xdr:row>9</xdr:row>
          <xdr:rowOff>152969</xdr:rowOff>
        </xdr:to>
        <xdr:pic>
          <xdr:nvPicPr>
            <xdr:cNvPr id="14" name="Picture 13">
              <a:extLst>
                <a:ext uri="{FF2B5EF4-FFF2-40B4-BE49-F238E27FC236}">
                  <a16:creationId xmlns:a16="http://schemas.microsoft.com/office/drawing/2014/main" id="{FE68CE7F-8B38-A60A-1B64-A3EACB0F360B}"/>
                </a:ext>
              </a:extLst>
            </xdr:cNvPr>
            <xdr:cNvPicPr>
              <a:picLocks noChangeAspect="1" noChangeArrowheads="1"/>
              <a:extLst>
                <a:ext uri="{84589F7E-364E-4C9E-8A38-B11213B215E9}">
                  <a14:cameraTool cellRange="'Pivot Report'!$A$50:$D$52" spid="_x0000_s2064"/>
                </a:ext>
              </a:extLst>
            </xdr:cNvPicPr>
          </xdr:nvPicPr>
          <xdr:blipFill>
            <a:blip xmlns:r="http://schemas.openxmlformats.org/officeDocument/2006/relationships" r:embed="rId18"/>
            <a:srcRect/>
            <a:stretch>
              <a:fillRect/>
            </a:stretch>
          </xdr:blipFill>
          <xdr:spPr bwMode="auto">
            <a:xfrm>
              <a:off x="590550" y="1295969"/>
              <a:ext cx="2814638" cy="48577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c:userShapes xmlns:c="http://schemas.openxmlformats.org/drawingml/2006/chart">
  <cdr:relSizeAnchor xmlns:cdr="http://schemas.openxmlformats.org/drawingml/2006/chartDrawing">
    <cdr:from>
      <cdr:x>0.05477</cdr:x>
      <cdr:y>0.79513</cdr:y>
    </cdr:from>
    <cdr:to>
      <cdr:x>0.94836</cdr:x>
      <cdr:y>0.96507</cdr:y>
    </cdr:to>
    <cdr:sp macro="" textlink="">
      <cdr:nvSpPr>
        <cdr:cNvPr id="2" name="TextBox 23">
          <a:extLst xmlns:a="http://schemas.openxmlformats.org/drawingml/2006/main">
            <a:ext uri="{FF2B5EF4-FFF2-40B4-BE49-F238E27FC236}">
              <a16:creationId xmlns:a16="http://schemas.microsoft.com/office/drawing/2014/main" id="{9AD729F5-3687-2EAD-6F61-D1EEF03A38A2}"/>
            </a:ext>
          </a:extLst>
        </cdr:cNvPr>
        <cdr:cNvSpPr txBox="1"/>
      </cdr:nvSpPr>
      <cdr:spPr>
        <a:xfrm xmlns:a="http://schemas.openxmlformats.org/drawingml/2006/main">
          <a:off x="55562" y="867184"/>
          <a:ext cx="906461" cy="18532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800"/>
            <a:t>Patient</a:t>
          </a:r>
          <a:r>
            <a:rPr lang="en-IN" sz="800" baseline="0"/>
            <a:t> Attend Status</a:t>
          </a:r>
          <a:endParaRPr lang="en-IN" sz="800"/>
        </a:p>
      </cdr:txBody>
    </cdr:sp>
  </cdr:relSizeAnchor>
</c:userShapes>
</file>

<file path=xl/drawings/drawing3.xml><?xml version="1.0" encoding="utf-8"?>
<xdr:wsDr xmlns:xdr="http://schemas.openxmlformats.org/drawingml/2006/spreadsheetDrawing" xmlns:a="http://schemas.openxmlformats.org/drawingml/2006/main">
  <xdr:twoCellAnchor>
    <xdr:from>
      <xdr:col>2</xdr:col>
      <xdr:colOff>716280</xdr:colOff>
      <xdr:row>48</xdr:row>
      <xdr:rowOff>76200</xdr:rowOff>
    </xdr:from>
    <xdr:to>
      <xdr:col>4</xdr:col>
      <xdr:colOff>670560</xdr:colOff>
      <xdr:row>51</xdr:row>
      <xdr:rowOff>129540</xdr:rowOff>
    </xdr:to>
    <xdr:graphicFrame macro="">
      <xdr:nvGraphicFramePr>
        <xdr:cNvPr id="7" name="Chart 6">
          <a:extLst>
            <a:ext uri="{FF2B5EF4-FFF2-40B4-BE49-F238E27FC236}">
              <a16:creationId xmlns:a16="http://schemas.microsoft.com/office/drawing/2014/main" id="{BCD1C126-CF9D-B4AE-8605-63FFBD8F4A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41030</xdr:rowOff>
    </xdr:from>
    <xdr:to>
      <xdr:col>10</xdr:col>
      <xdr:colOff>365760</xdr:colOff>
      <xdr:row>16</xdr:row>
      <xdr:rowOff>29309</xdr:rowOff>
    </xdr:to>
    <xdr:graphicFrame macro="">
      <xdr:nvGraphicFramePr>
        <xdr:cNvPr id="3" name="Chart 2">
          <a:extLst>
            <a:ext uri="{FF2B5EF4-FFF2-40B4-BE49-F238E27FC236}">
              <a16:creationId xmlns:a16="http://schemas.microsoft.com/office/drawing/2014/main" id="{4402F095-3E0B-44B6-B0B2-129A5DF0E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cdr:x>
      <cdr:y>0</cdr:y>
    </cdr:from>
    <cdr:to>
      <cdr:x>0.09905</cdr:x>
      <cdr:y>0.12743</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4C2CD79-BCC2-441D-5687-AE8ED79C680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640035" cy="345831"/>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455212</xdr:colOff>
      <xdr:row>1</xdr:row>
      <xdr:rowOff>153726</xdr:rowOff>
    </xdr:from>
    <xdr:to>
      <xdr:col>14</xdr:col>
      <xdr:colOff>257092</xdr:colOff>
      <xdr:row>18</xdr:row>
      <xdr:rowOff>92765</xdr:rowOff>
    </xdr:to>
    <xdr:graphicFrame macro="">
      <xdr:nvGraphicFramePr>
        <xdr:cNvPr id="2" name="Chart 1">
          <a:extLst>
            <a:ext uri="{FF2B5EF4-FFF2-40B4-BE49-F238E27FC236}">
              <a16:creationId xmlns:a16="http://schemas.microsoft.com/office/drawing/2014/main" id="{07118961-2917-424C-B9CF-698B24F70B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cdr:x>
      <cdr:y>0</cdr:y>
    </cdr:from>
    <cdr:to>
      <cdr:x>0.07972</cdr:x>
      <cdr:y>0.15381</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0C2BA1A-6566-A303-2AD3-31E657CC197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664597" cy="475753"/>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0</xdr:col>
      <xdr:colOff>278294</xdr:colOff>
      <xdr:row>0</xdr:row>
      <xdr:rowOff>92765</xdr:rowOff>
    </xdr:from>
    <xdr:to>
      <xdr:col>13</xdr:col>
      <xdr:colOff>311425</xdr:colOff>
      <xdr:row>16</xdr:row>
      <xdr:rowOff>33130</xdr:rowOff>
    </xdr:to>
    <xdr:graphicFrame macro="">
      <xdr:nvGraphicFramePr>
        <xdr:cNvPr id="3" name="Chart 2">
          <a:extLst>
            <a:ext uri="{FF2B5EF4-FFF2-40B4-BE49-F238E27FC236}">
              <a16:creationId xmlns:a16="http://schemas.microsoft.com/office/drawing/2014/main" id="{D0792CAD-5F98-4993-B54C-B9098D8E60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cdr:x>
      <cdr:y>3.64538E-7</cdr:y>
    </cdr:from>
    <cdr:to>
      <cdr:x>0.08659</cdr:x>
      <cdr:y>0.22222</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FC556E9-1654-78FD-B639-54D6C1500EB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1"/>
          <a:ext cx="689115" cy="60960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KVINDER" refreshedDate="46218.681284722225" createdVersion="5" refreshedVersion="8" minRefreshableVersion="3" recordCount="0" supportSubquery="1" supportAdvancedDrill="1" xr:uid="{E1F0AF45-581D-4FF5-A09A-4BAD599523B8}">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KVINDER" refreshedDate="46218.681284953702" createdVersion="5" refreshedVersion="8" minRefreshableVersion="3" recordCount="0" supportSubquery="1" supportAdvancedDrill="1" xr:uid="{F60BF1F8-C7B5-41FC-908F-FD33C1138C91}">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KVINDER" refreshedDate="46218.681285185186" createdVersion="5" refreshedVersion="8" minRefreshableVersion="3" recordCount="0" supportSubquery="1" supportAdvancedDrill="1" xr:uid="{C14D2296-9AF1-400E-AB5D-51131C65C206}">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KVINDER" refreshedDate="46218.681285416664" createdVersion="5" refreshedVersion="8" minRefreshableVersion="3" recordCount="0" supportSubquery="1" supportAdvancedDrill="1" xr:uid="{299145B3-5014-401D-822E-B2FA35198A6D}">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KVINDER" refreshedDate="46218.681285763887" createdVersion="5" refreshedVersion="8" minRefreshableVersion="3" recordCount="0" supportSubquery="1" supportAdvancedDrill="1" xr:uid="{4EA5D67C-7E22-40BD-865A-EE926B29E67A}">
  <cacheSource type="external" connectionId="3"/>
  <cacheFields count="4">
    <cacheField name="[Calenda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KVINDER" refreshedDate="46218.681286574072" createdVersion="5" refreshedVersion="8" minRefreshableVersion="3" recordCount="0" supportSubquery="1" supportAdvancedDrill="1" xr:uid="{0E6BF8F4-FDE4-45BC-B046-0C3555FF6727}">
  <cacheSource type="external" connectionId="3"/>
  <cacheFields count="4">
    <cacheField name="[Calendar_Table].[Date (Day)].[Date (Day)]" caption="Date (Day)" numFmtId="0" hierarchy="2"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KVINDER" refreshedDate="46218.68128715278" createdVersion="5" refreshedVersion="8" minRefreshableVersion="3" recordCount="0" supportSubquery="1" supportAdvancedDrill="1" xr:uid="{0205463B-DEAD-4E22-B7B2-902B26DD2E72}">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KVINDER" refreshedDate="46218.681287731481" createdVersion="5" refreshedVersion="8" minRefreshableVersion="3" recordCount="0" supportSubquery="1" supportAdvancedDrill="1" xr:uid="{B9C3A3D6-5EE9-49DB-9B4E-E4B9D8BCB667}">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KVINDER" refreshedDate="46218.681288310188" createdVersion="5" refreshedVersion="8" minRefreshableVersion="3" recordCount="0" supportSubquery="1" supportAdvancedDrill="1" xr:uid="{0BBB9FD9-9040-403F-8DCD-572152D8E97D}">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KVINDER" refreshedDate="46218.681288888889" createdVersion="5" refreshedVersion="8" minRefreshableVersion="3" recordCount="0" supportSubquery="1" supportAdvancedDrill="1" xr:uid="{1CE1A0E9-13FA-45CB-A07E-F8F5618E051C}">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KVINDER" refreshedDate="46218.68128946759" createdVersion="5" refreshedVersion="8" minRefreshableVersion="3" recordCount="0" supportSubquery="1" supportAdvancedDrill="1" xr:uid="{4E57CE24-226D-4922-9DBE-4A7D30FA83C7}">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KVINDER" refreshedDate="46218.681289930559" createdVersion="5" refreshedVersion="8" minRefreshableVersion="3" recordCount="0" supportSubquery="1" supportAdvancedDrill="1" xr:uid="{91A4AD2F-F883-45FF-AF1C-7D6FBBDCD7FF}">
  <cacheSource type="external" connectionId="3"/>
  <cacheFields count="4">
    <cacheField name="[Calendar_Table].[Date (Month)].[Date (Month)]" caption="Date (Month)" numFmtId="0" hierarchy="1" level="1">
      <sharedItems count="1">
        <s v="Oct"/>
      </sharedItems>
    </cacheField>
    <cacheField name="[Calendar_Table].[Date].[Date]" caption="Date" numFmtId="0" level="1">
      <sharedItems containsSemiMixedTypes="0" containsNonDate="0" containsDate="1" containsString="0" minDate="2023-10-01T00:00:00" maxDate="2024-11-01T00:00:00" count="62">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sharedItems>
    </cacheField>
    <cacheField name="[Calendar_Table].[Date (Quarter)].[Date (Quarter)]" caption="Date (Quarter)" numFmtId="0" hierarchy="4" level="1">
      <sharedItems count="1">
        <s v="Qtr4"/>
      </sharedItems>
    </cacheField>
    <cacheField name="[Calendar_Table].[Date (Year)].[Date (Year)]" caption="Date (Year)" numFmtId="0" hierarchy="3" level="1">
      <sharedItems count="1">
        <s v="2023"/>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KVINDER" refreshedDate="46215.836762037034" createdVersion="3" refreshedVersion="8" minRefreshableVersion="3" recordCount="0" supportSubquery="1" supportAdvancedDrill="1" xr:uid="{63A3CA58-FDE7-4B2C-9C7E-5FFE165AF33C}">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82820773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A0F0B9-3D21-4E70-9A92-C781EC054D4B}" name="PivotTable5" cacheId="4" applyNumberFormats="0" applyBorderFormats="0" applyFontFormats="0" applyPatternFormats="0" applyAlignmentFormats="0" applyWidthHeightFormats="1" dataCaption="Values" tag="e52e595d-0f45-4dea-88e6-960fa00d1cd9" updatedVersion="8" minRefreshableVersion="3" itemPrintTitles="1" createdVersion="5" indent="0" outline="1" outlineData="1" multipleFieldFilters="0" chartFormat="22">
  <location ref="H4:I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0">
      <pivotArea collapsedLevelsAreSubtotals="1" fieldPosition="0">
        <references count="1">
          <reference field="0" count="0"/>
        </references>
      </pivotArea>
    </format>
  </formats>
  <chartFormats count="2">
    <chartFormat chart="12"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F02666-8C9D-4ED0-8113-1DF4B5673369}" name="PivotTable8" cacheId="7" applyNumberFormats="0" applyBorderFormats="0" applyFontFormats="0" applyPatternFormats="0" applyAlignmentFormats="0" applyWidthHeightFormats="1" dataCaption="Values" tag="a6d7c251-4bc1-4fbb-adf2-ff2b2d030b29" updatedVersion="8" minRefreshableVersion="3" itemPrintTitles="1" createdVersion="5" indent="0" outline="1" outlineData="1" multipleFieldFilters="0" chartFormat="4">
  <location ref="A55:B6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409A04-FE3C-4B97-A0D3-7BDEF2C9E02E}" name="PivotTable12" cacheId="11" applyNumberFormats="0" applyBorderFormats="0" applyFontFormats="0" applyPatternFormats="0" applyAlignmentFormats="0" applyWidthHeightFormats="1" dataCaption="Values" tag="49b392a8-3097-455d-a428-6fdfff2ea0ef" updatedVersion="8" minRefreshableVersion="3" subtotalHiddenItems="1" itemPrintTitles="1" createdVersion="5" indent="0" outline="1" outlineData="1" multipleFieldFilters="0" chartFormat="16">
  <location ref="A95:A97"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2">
      <pivotArea outline="0" collapsedLevelsAreSubtotals="1" fieldPosition="0"/>
    </format>
  </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6EC910-64C9-43F3-ABCD-968603DD5791}" name="PivotTable1" cacheId="1" applyNumberFormats="0" applyBorderFormats="0" applyFontFormats="0" applyPatternFormats="0" applyAlignmentFormats="0" applyWidthHeightFormats="1" dataCaption="Values" tag="f9364364-0221-48a2-9056-8e88fc3f6924" updatedVersion="8" minRefreshableVersion="3"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173566-0106-45C1-B0D5-181FC2B4A8F9}" name="PivotTable9" cacheId="8" applyNumberFormats="0" applyBorderFormats="0" applyFontFormats="0" applyPatternFormats="0" applyAlignmentFormats="0" applyWidthHeightFormats="1" dataCaption="Values" tag="e677fb8d-09a5-432b-86b3-cd334c8bab6a" updatedVersion="8" minRefreshableVersion="3" itemPrintTitles="1" createdVersion="5" indent="0" outline="1" outlineData="1" multipleFieldFilters="0" chartFormat="8">
  <location ref="A71:B7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4">
      <pivotArea outline="0" collapsedLevelsAreSubtotals="1" fieldPosition="0"/>
    </format>
    <format dxfId="3">
      <pivotArea collapsedLevelsAreSubtotals="1" fieldPosition="0">
        <references count="1">
          <reference field="1" count="0"/>
        </references>
      </pivotArea>
    </format>
  </format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E75D0C-40C7-4B90-B40F-8996955AFFF8}" name="PivotTable2" cacheId="2" applyNumberFormats="0" applyBorderFormats="0" applyFontFormats="0" applyPatternFormats="0" applyAlignmentFormats="0" applyWidthHeightFormats="1" dataCaption="Values" tag="d05d534a-238e-467b-9fd6-1dd161cd2dd6" updatedVersion="8" minRefreshableVersion="3"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5">
      <pivotArea outline="0" collapsedLevelsAreSubtotals="1" fieldPosition="0"/>
    </format>
  </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86B1F1-924E-41D9-A329-2AB0A3FEB978}" name="PivotTable10" cacheId="9" applyNumberFormats="0" applyBorderFormats="0" applyFontFormats="0" applyPatternFormats="0" applyAlignmentFormats="0" applyWidthHeightFormats="1" dataCaption="Values" tag="92150ddd-ac4f-4fbe-86d9-e676a4407ee8" updatedVersion="8" minRefreshableVersion="3" subtotalHiddenItems="1" itemPrintTitles="1" createdVersion="5" indent="0" outline="1" outlineData="1" multipleFieldFilters="0" chartFormat="13">
  <location ref="A77:B8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7">
      <pivotArea outline="0" collapsedLevelsAreSubtotals="1" fieldPosition="0"/>
    </format>
    <format dxfId="6">
      <pivotArea collapsedLevelsAreSubtotals="1" fieldPosition="0">
        <references count="1">
          <reference field="1" count="0"/>
        </references>
      </pivotArea>
    </format>
  </format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8A5ABC-39E6-47AE-9F60-9AA71CDCF6FD}" name="PivotTable6" cacheId="5" applyNumberFormats="0" applyBorderFormats="0" applyFontFormats="0" applyPatternFormats="0" applyAlignmentFormats="0" applyWidthHeightFormats="1" dataCaption="Values" tag="4308d332-2093-4840-9adf-84b30800d905" updatedVersion="8" minRefreshableVersion="3" itemPrintTitles="1" createdVersion="5" indent="0" outline="1" outlineData="1" multipleFieldFilters="0" chartFormat="26">
  <location ref="L4:M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8">
      <pivotArea collapsedLevelsAreSubtotals="1" fieldPosition="0">
        <references count="1">
          <reference field="0" count="0"/>
        </references>
      </pivotArea>
    </format>
  </formats>
  <chartFormats count="2">
    <chartFormat chart="20"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867A7F-0361-42B5-874D-E906FE9373A2}" name="PivotTable3" cacheId="3" applyNumberFormats="0" applyBorderFormats="0" applyFontFormats="0" applyPatternFormats="0" applyAlignmentFormats="0" applyWidthHeightFormats="1" dataCaption="Values" tag="0b3daae2-f62c-4b9d-99a0-5fca66cb3dd9" updatedVersion="8" minRefreshableVersion="3"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9">
      <pivotArea outline="0" collapsedLevelsAreSubtotals="1" fieldPosition="0"/>
    </format>
  </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2552D79-567A-448D-8FA9-7C7F66DA7C7F}" name="PivotTable7" cacheId="6" applyNumberFormats="0" applyBorderFormats="0" applyFontFormats="0" applyPatternFormats="0" applyAlignmentFormats="0" applyWidthHeightFormats="1" dataCaption="Values" tag="61e38013-e79c-4cf1-a134-c2175e4da1bb" updatedVersion="8" minRefreshableVersion="3" itemPrintTitles="1" createdVersion="5" indent="0" outline="1" outlineData="1" multipleFieldFilters="0" chartFormat="3">
  <location ref="A41:C44"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12">
      <pivotArea outline="0" collapsedLevelsAreSubtotals="1" fieldPosition="0"/>
    </format>
    <format dxfId="11">
      <pivotArea collapsedLevelsAreSubtotals="1" fieldPosition="0">
        <references count="1">
          <reference field="2" count="0"/>
        </references>
      </pivotArea>
    </format>
    <format dxfId="10">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6355D3F-87ED-43CE-8F4D-B8960C9F5908}" name="PivotTable4" cacheId="0" applyNumberFormats="0" applyBorderFormats="0" applyFontFormats="0" applyPatternFormats="0" applyAlignmentFormats="0" applyWidthHeightFormats="1" dataCaption="Values" tag="e3772799-2ac6-4387-b5cc-f84f60679654" updatedVersion="8" minRefreshableVersion="3" itemPrintTitles="1" createdVersion="5" indent="0" outline="1" outlineData="1" multipleFieldFilters="0" chartFormat="14">
  <location ref="D4:E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EBA2375-137F-422D-B164-8F660760F3E6}" name="PivotTable11" cacheId="10" applyNumberFormats="0" applyBorderFormats="0" applyFontFormats="0" applyPatternFormats="0" applyAlignmentFormats="0" applyWidthHeightFormats="1" dataCaption="Values" tag="842fbbb3-cbc4-453f-b917-cec8f6ab9a7e" updatedVersion="8" minRefreshableVersion="3" subtotalHiddenItems="1" itemPrintTitles="1" createdVersion="5" indent="0" outline="1" outlineData="1" multipleFieldFilters="0" chartFormat="16">
  <location ref="A83:B92"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1"/>
    </i>
    <i>
      <x v="6"/>
    </i>
    <i>
      <x/>
    </i>
    <i>
      <x v="5"/>
    </i>
    <i>
      <x v="2"/>
    </i>
    <i>
      <x v="4"/>
    </i>
    <i t="grand">
      <x/>
    </i>
  </rowItems>
  <colItems count="1">
    <i/>
  </colItems>
  <dataFields count="1">
    <dataField name="Count of Department Referral" fld="2" subtotal="count" baseField="0" baseItem="0"/>
  </dataFields>
  <formats count="2">
    <format dxfId="14">
      <pivotArea outline="0" collapsedLevelsAreSubtotals="1" fieldPosition="0"/>
    </format>
    <format dxfId="13">
      <pivotArea collapsedLevelsAreSubtotals="1" fieldPosition="0">
        <references count="1">
          <reference field="1" count="0"/>
        </references>
      </pivotArea>
    </format>
  </formats>
  <chartFormats count="1">
    <chartFormat chart="1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ug]"/>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D6266543-4DE3-49D4-AF08-965DF2B779FC}"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828207737">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Aug]"/>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9797032-E65A-4038-9E33-FE310DF29689}"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828207737">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4A84E18E-86B3-4477-A83D-7ECD40BE0CFC}" cache="Slicer_Date__Month" caption="Date (Month)" showCaption="0" level="1" style="My Style" rowHeight="144000"/>
  <slicer name="Date (Year)" xr10:uid="{83B110E7-89E1-48EE-A65E-98FC71884A21}" cache="Slicer_Date__Year" caption="Date (Year)" columnCount="2" showCaption="0" level="1" style="my style 2"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57DDA-0120-46CE-93AB-1FC185A8C166}">
  <dimension ref="A1:M17"/>
  <sheetViews>
    <sheetView tabSelected="1" zoomScale="160" zoomScaleNormal="160" workbookViewId="0">
      <selection activeCell="I19" sqref="I19"/>
    </sheetView>
  </sheetViews>
  <sheetFormatPr defaultRowHeight="14.4" x14ac:dyDescent="0.3"/>
  <sheetData>
    <row r="1" spans="1:13" x14ac:dyDescent="0.3">
      <c r="A1" s="12"/>
      <c r="B1" s="12"/>
      <c r="C1" s="12"/>
      <c r="D1" s="12"/>
      <c r="E1" s="12"/>
      <c r="F1" s="12"/>
      <c r="G1" s="12"/>
      <c r="H1" s="12"/>
      <c r="I1" s="12"/>
      <c r="J1" s="12"/>
      <c r="K1" s="12"/>
      <c r="L1" s="12"/>
      <c r="M1" s="12"/>
    </row>
    <row r="2" spans="1:13" x14ac:dyDescent="0.3">
      <c r="A2" s="12"/>
      <c r="B2" s="12"/>
      <c r="C2" s="12"/>
      <c r="D2" s="12"/>
      <c r="E2" s="12"/>
      <c r="F2" s="12"/>
      <c r="G2" s="12"/>
      <c r="H2" s="12"/>
      <c r="I2" s="12"/>
      <c r="J2" s="12"/>
      <c r="K2" s="12"/>
      <c r="L2" s="12"/>
      <c r="M2" s="12"/>
    </row>
    <row r="3" spans="1:13" x14ac:dyDescent="0.3">
      <c r="A3" s="12"/>
      <c r="B3" s="12"/>
      <c r="C3" s="12"/>
      <c r="D3" s="12"/>
      <c r="E3" s="12"/>
      <c r="F3" s="12"/>
      <c r="G3" s="12"/>
      <c r="H3" s="12"/>
      <c r="I3" s="12"/>
      <c r="J3" s="12"/>
      <c r="K3" s="12"/>
      <c r="L3" s="12"/>
      <c r="M3" s="12"/>
    </row>
    <row r="4" spans="1:13" x14ac:dyDescent="0.3">
      <c r="A4" s="12"/>
      <c r="B4" s="12"/>
      <c r="C4" s="12"/>
      <c r="D4" s="12"/>
      <c r="E4" s="12"/>
      <c r="F4" s="12"/>
      <c r="G4" s="12"/>
      <c r="H4" s="12"/>
      <c r="I4" s="12"/>
      <c r="J4" s="12"/>
      <c r="K4" s="12"/>
      <c r="L4" s="12"/>
      <c r="M4" s="12"/>
    </row>
    <row r="5" spans="1:13" x14ac:dyDescent="0.3">
      <c r="A5" s="12"/>
      <c r="B5" s="12"/>
      <c r="C5" s="12"/>
      <c r="D5" s="12"/>
      <c r="E5" s="12"/>
      <c r="F5" s="12"/>
      <c r="G5" s="12"/>
      <c r="H5" s="12"/>
      <c r="I5" s="12"/>
      <c r="J5" s="12"/>
      <c r="K5" s="12"/>
      <c r="L5" s="12"/>
      <c r="M5" s="12"/>
    </row>
    <row r="6" spans="1:13" x14ac:dyDescent="0.3">
      <c r="A6" s="12"/>
      <c r="B6" s="12"/>
      <c r="C6" s="12"/>
      <c r="D6" s="12"/>
      <c r="E6" s="12"/>
      <c r="F6" s="12"/>
      <c r="G6" s="12"/>
      <c r="H6" s="12"/>
      <c r="I6" s="12"/>
      <c r="J6" s="12"/>
      <c r="K6" s="12"/>
      <c r="L6" s="12"/>
      <c r="M6" s="12"/>
    </row>
    <row r="7" spans="1:13" x14ac:dyDescent="0.3">
      <c r="A7" s="12"/>
      <c r="B7" s="12"/>
      <c r="C7" s="12"/>
      <c r="D7" s="12"/>
      <c r="E7" s="12"/>
      <c r="F7" s="12"/>
      <c r="G7" s="12"/>
      <c r="H7" s="12"/>
      <c r="I7" s="12"/>
      <c r="J7" s="12"/>
      <c r="K7" s="12"/>
      <c r="L7" s="12"/>
      <c r="M7" s="12"/>
    </row>
    <row r="8" spans="1:13" x14ac:dyDescent="0.3">
      <c r="A8" s="12"/>
      <c r="B8" s="12"/>
      <c r="C8" s="12"/>
      <c r="D8" s="12"/>
      <c r="E8" s="12"/>
      <c r="F8" s="12"/>
      <c r="G8" s="12"/>
      <c r="H8" s="12"/>
      <c r="I8" s="12"/>
      <c r="J8" s="12"/>
      <c r="K8" s="12"/>
      <c r="L8" s="12"/>
      <c r="M8" s="12"/>
    </row>
    <row r="9" spans="1:13" x14ac:dyDescent="0.3">
      <c r="A9" s="12"/>
      <c r="B9" s="12"/>
      <c r="C9" s="12"/>
      <c r="D9" s="12"/>
      <c r="E9" s="12"/>
      <c r="F9" s="12"/>
      <c r="G9" s="12"/>
      <c r="H9" s="12"/>
      <c r="I9" s="12"/>
      <c r="J9" s="12"/>
      <c r="K9" s="12"/>
      <c r="L9" s="12"/>
      <c r="M9" s="12"/>
    </row>
    <row r="10" spans="1:13" x14ac:dyDescent="0.3">
      <c r="A10" s="12"/>
      <c r="B10" s="12"/>
      <c r="C10" s="12"/>
      <c r="D10" s="12"/>
      <c r="E10" s="12"/>
      <c r="F10" s="12"/>
      <c r="G10" s="12"/>
      <c r="H10" s="12"/>
      <c r="I10" s="12"/>
      <c r="J10" s="12"/>
      <c r="K10" s="12"/>
      <c r="L10" s="12"/>
      <c r="M10" s="12"/>
    </row>
    <row r="11" spans="1:13" x14ac:dyDescent="0.3">
      <c r="A11" s="12"/>
      <c r="B11" s="12"/>
      <c r="C11" s="12"/>
      <c r="D11" s="12"/>
      <c r="E11" s="12"/>
      <c r="F11" s="12"/>
      <c r="G11" s="12"/>
      <c r="H11" s="12"/>
      <c r="I11" s="12"/>
      <c r="J11" s="12"/>
      <c r="K11" s="12"/>
      <c r="L11" s="12"/>
      <c r="M11" s="12"/>
    </row>
    <row r="12" spans="1:13" x14ac:dyDescent="0.3">
      <c r="A12" s="12"/>
      <c r="B12" s="12"/>
      <c r="C12" s="12"/>
      <c r="D12" s="12"/>
      <c r="E12" s="12"/>
      <c r="F12" s="12"/>
      <c r="G12" s="12"/>
      <c r="H12" s="12"/>
      <c r="I12" s="12"/>
      <c r="J12" s="12"/>
      <c r="K12" s="12"/>
      <c r="L12" s="12"/>
      <c r="M12" s="12"/>
    </row>
    <row r="13" spans="1:13" x14ac:dyDescent="0.3">
      <c r="A13" s="12"/>
      <c r="B13" s="12"/>
      <c r="C13" s="12"/>
      <c r="D13" s="12"/>
      <c r="E13" s="12"/>
      <c r="F13" s="12"/>
      <c r="G13" s="12"/>
      <c r="H13" s="12"/>
      <c r="I13" s="12"/>
      <c r="J13" s="12"/>
      <c r="K13" s="12"/>
      <c r="L13" s="12"/>
      <c r="M13" s="12"/>
    </row>
    <row r="14" spans="1:13" x14ac:dyDescent="0.3">
      <c r="A14" s="12"/>
      <c r="B14" s="12"/>
      <c r="C14" s="12"/>
      <c r="D14" s="12"/>
      <c r="E14" s="12"/>
      <c r="F14" s="12"/>
      <c r="G14" s="12"/>
      <c r="H14" s="12"/>
      <c r="I14" s="12"/>
      <c r="J14" s="12"/>
      <c r="K14" s="12"/>
      <c r="L14" s="12"/>
      <c r="M14" s="12"/>
    </row>
    <row r="15" spans="1:13" x14ac:dyDescent="0.3">
      <c r="A15" s="12"/>
      <c r="B15" s="12"/>
      <c r="C15" s="12"/>
      <c r="D15" s="12"/>
      <c r="E15" s="12"/>
      <c r="F15" s="12"/>
      <c r="G15" s="12"/>
      <c r="H15" s="12"/>
      <c r="I15" s="12"/>
      <c r="J15" s="12"/>
      <c r="K15" s="12"/>
      <c r="L15" s="12"/>
      <c r="M15" s="12"/>
    </row>
    <row r="16" spans="1:13" x14ac:dyDescent="0.3">
      <c r="A16" s="12"/>
      <c r="B16" s="12"/>
      <c r="C16" s="12"/>
      <c r="D16" s="12"/>
      <c r="E16" s="12"/>
      <c r="F16" s="12"/>
      <c r="G16" s="12"/>
      <c r="H16" s="12"/>
      <c r="I16" s="12"/>
      <c r="J16" s="12"/>
      <c r="K16" s="12"/>
      <c r="L16" s="12"/>
      <c r="M16" s="12"/>
    </row>
    <row r="17" spans="1:13" x14ac:dyDescent="0.3">
      <c r="A17" s="12"/>
      <c r="B17" s="12"/>
      <c r="C17" s="12"/>
      <c r="D17" s="12"/>
      <c r="E17" s="12"/>
      <c r="F17" s="12"/>
      <c r="G17" s="12"/>
      <c r="H17" s="12"/>
      <c r="I17" s="12"/>
      <c r="J17" s="12"/>
      <c r="K17" s="12"/>
      <c r="L17" s="12"/>
      <c r="M17" s="1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2B1FE-1222-4B44-89AE-DF83B8EE5CB5}">
  <dimension ref="A3:M97"/>
  <sheetViews>
    <sheetView workbookViewId="0">
      <selection activeCell="E55" sqref="E55"/>
    </sheetView>
  </sheetViews>
  <sheetFormatPr defaultRowHeight="14.4" x14ac:dyDescent="0.3"/>
  <cols>
    <col min="1" max="1" width="16.109375" customWidth="1"/>
    <col min="2" max="2" width="10.6640625" customWidth="1"/>
    <col min="3" max="3" width="10.88671875" customWidth="1"/>
    <col min="4" max="4" width="13.109375" customWidth="1"/>
    <col min="5" max="5" width="23.33203125" bestFit="1" customWidth="1"/>
    <col min="8" max="8" width="12.44140625" bestFit="1" customWidth="1"/>
    <col min="9" max="9" width="23.33203125" bestFit="1" customWidth="1"/>
    <col min="12" max="12" width="15.77734375" bestFit="1" customWidth="1"/>
    <col min="13" max="13" width="31.77734375" bestFit="1" customWidth="1"/>
  </cols>
  <sheetData>
    <row r="3" spans="1:13" x14ac:dyDescent="0.3">
      <c r="A3" t="s">
        <v>3</v>
      </c>
      <c r="D3" t="s">
        <v>7</v>
      </c>
      <c r="H3" t="s">
        <v>8</v>
      </c>
      <c r="L3" t="s">
        <v>11</v>
      </c>
    </row>
    <row r="4" spans="1:13" x14ac:dyDescent="0.3">
      <c r="A4" t="s">
        <v>2</v>
      </c>
      <c r="D4" s="1" t="s">
        <v>0</v>
      </c>
      <c r="E4" t="s">
        <v>2</v>
      </c>
      <c r="H4" s="1" t="s">
        <v>0</v>
      </c>
      <c r="I4" t="s">
        <v>4</v>
      </c>
      <c r="L4" s="1" t="s">
        <v>0</v>
      </c>
      <c r="M4" t="s">
        <v>5</v>
      </c>
    </row>
    <row r="5" spans="1:13" x14ac:dyDescent="0.3">
      <c r="A5">
        <v>494</v>
      </c>
      <c r="D5" s="2" t="s">
        <v>46</v>
      </c>
      <c r="E5">
        <v>14</v>
      </c>
      <c r="H5" s="2" t="s">
        <v>46</v>
      </c>
      <c r="I5" s="3">
        <v>35.714285714285715</v>
      </c>
      <c r="L5" s="2" t="s">
        <v>46</v>
      </c>
      <c r="M5" s="6">
        <v>8</v>
      </c>
    </row>
    <row r="6" spans="1:13" x14ac:dyDescent="0.3">
      <c r="D6" s="2" t="s">
        <v>47</v>
      </c>
      <c r="E6">
        <v>15</v>
      </c>
      <c r="H6" s="2" t="s">
        <v>47</v>
      </c>
      <c r="I6" s="3">
        <v>38.533333333333331</v>
      </c>
      <c r="L6" s="2" t="s">
        <v>47</v>
      </c>
      <c r="M6" s="6">
        <v>4</v>
      </c>
    </row>
    <row r="7" spans="1:13" x14ac:dyDescent="0.3">
      <c r="D7" s="2" t="s">
        <v>48</v>
      </c>
      <c r="E7">
        <v>17</v>
      </c>
      <c r="H7" s="2" t="s">
        <v>48</v>
      </c>
      <c r="I7" s="3">
        <v>38.941176470588232</v>
      </c>
      <c r="L7" s="2" t="s">
        <v>48</v>
      </c>
      <c r="M7" s="6">
        <v>5.333333333333333</v>
      </c>
    </row>
    <row r="8" spans="1:13" x14ac:dyDescent="0.3">
      <c r="A8" t="s">
        <v>4</v>
      </c>
      <c r="D8" s="2" t="s">
        <v>49</v>
      </c>
      <c r="E8">
        <v>12</v>
      </c>
      <c r="H8" s="2" t="s">
        <v>49</v>
      </c>
      <c r="I8" s="3">
        <v>35.666666666666664</v>
      </c>
      <c r="L8" s="2" t="s">
        <v>49</v>
      </c>
      <c r="M8" s="6">
        <v>4.666666666666667</v>
      </c>
    </row>
    <row r="9" spans="1:13" x14ac:dyDescent="0.3">
      <c r="A9" s="3">
        <v>36.392712550607285</v>
      </c>
      <c r="D9" s="2" t="s">
        <v>50</v>
      </c>
      <c r="E9">
        <v>23</v>
      </c>
      <c r="H9" s="2" t="s">
        <v>50</v>
      </c>
      <c r="I9" s="3">
        <v>39.478260869565219</v>
      </c>
      <c r="L9" s="2" t="s">
        <v>50</v>
      </c>
      <c r="M9" s="6">
        <v>6.2</v>
      </c>
    </row>
    <row r="10" spans="1:13" x14ac:dyDescent="0.3">
      <c r="D10" s="2" t="s">
        <v>51</v>
      </c>
      <c r="E10">
        <v>10</v>
      </c>
      <c r="H10" s="2" t="s">
        <v>51</v>
      </c>
      <c r="I10" s="3">
        <v>25.1</v>
      </c>
      <c r="L10" s="2" t="s">
        <v>51</v>
      </c>
      <c r="M10" s="6">
        <v>6.333333333333333</v>
      </c>
    </row>
    <row r="11" spans="1:13" x14ac:dyDescent="0.3">
      <c r="A11" t="s">
        <v>5</v>
      </c>
      <c r="D11" s="2" t="s">
        <v>52</v>
      </c>
      <c r="E11">
        <v>18</v>
      </c>
      <c r="H11" s="2" t="s">
        <v>52</v>
      </c>
      <c r="I11" s="3">
        <v>43.666666666666664</v>
      </c>
      <c r="L11" s="2" t="s">
        <v>52</v>
      </c>
      <c r="M11" s="6">
        <v>9.5</v>
      </c>
    </row>
    <row r="12" spans="1:13" x14ac:dyDescent="0.3">
      <c r="A12" s="3">
        <v>5.0629921259842519</v>
      </c>
      <c r="D12" s="2" t="s">
        <v>53</v>
      </c>
      <c r="E12">
        <v>11</v>
      </c>
      <c r="H12" s="2" t="s">
        <v>53</v>
      </c>
      <c r="I12" s="3">
        <v>38.090909090909093</v>
      </c>
      <c r="L12" s="2" t="s">
        <v>53</v>
      </c>
      <c r="M12" s="6">
        <v>2</v>
      </c>
    </row>
    <row r="13" spans="1:13" x14ac:dyDescent="0.3">
      <c r="D13" s="2" t="s">
        <v>54</v>
      </c>
      <c r="E13">
        <v>12</v>
      </c>
      <c r="H13" s="2" t="s">
        <v>54</v>
      </c>
      <c r="I13" s="3">
        <v>28.25</v>
      </c>
      <c r="L13" s="2" t="s">
        <v>54</v>
      </c>
      <c r="M13" s="6">
        <v>6.666666666666667</v>
      </c>
    </row>
    <row r="14" spans="1:13" x14ac:dyDescent="0.3">
      <c r="D14" s="2" t="s">
        <v>55</v>
      </c>
      <c r="E14">
        <v>24</v>
      </c>
      <c r="H14" s="2" t="s">
        <v>55</v>
      </c>
      <c r="I14" s="3">
        <v>36.291666666666664</v>
      </c>
      <c r="L14" s="2" t="s">
        <v>55</v>
      </c>
      <c r="M14" s="6">
        <v>2.25</v>
      </c>
    </row>
    <row r="15" spans="1:13" x14ac:dyDescent="0.3">
      <c r="D15" s="2" t="s">
        <v>56</v>
      </c>
      <c r="E15">
        <v>16</v>
      </c>
      <c r="H15" s="2" t="s">
        <v>56</v>
      </c>
      <c r="I15" s="3">
        <v>31.875</v>
      </c>
      <c r="L15" s="2" t="s">
        <v>56</v>
      </c>
      <c r="M15" s="6">
        <v>3</v>
      </c>
    </row>
    <row r="16" spans="1:13" x14ac:dyDescent="0.3">
      <c r="D16" s="2" t="s">
        <v>57</v>
      </c>
      <c r="E16">
        <v>21</v>
      </c>
      <c r="H16" s="2" t="s">
        <v>57</v>
      </c>
      <c r="I16" s="3">
        <v>32.333333333333336</v>
      </c>
      <c r="L16" s="2" t="s">
        <v>57</v>
      </c>
      <c r="M16" s="6">
        <v>4.7142857142857144</v>
      </c>
    </row>
    <row r="17" spans="4:13" x14ac:dyDescent="0.3">
      <c r="D17" s="2" t="s">
        <v>58</v>
      </c>
      <c r="E17">
        <v>16</v>
      </c>
      <c r="H17" s="2" t="s">
        <v>58</v>
      </c>
      <c r="I17" s="3">
        <v>36.3125</v>
      </c>
      <c r="L17" s="2" t="s">
        <v>58</v>
      </c>
      <c r="M17" s="6">
        <v>10</v>
      </c>
    </row>
    <row r="18" spans="4:13" x14ac:dyDescent="0.3">
      <c r="D18" s="2" t="s">
        <v>59</v>
      </c>
      <c r="E18">
        <v>15</v>
      </c>
      <c r="H18" s="2" t="s">
        <v>59</v>
      </c>
      <c r="I18" s="3">
        <v>41.133333333333333</v>
      </c>
      <c r="L18" s="2" t="s">
        <v>59</v>
      </c>
      <c r="M18" s="6">
        <v>5.666666666666667</v>
      </c>
    </row>
    <row r="19" spans="4:13" x14ac:dyDescent="0.3">
      <c r="D19" s="2" t="s">
        <v>60</v>
      </c>
      <c r="E19">
        <v>14</v>
      </c>
      <c r="H19" s="2" t="s">
        <v>60</v>
      </c>
      <c r="I19" s="3">
        <v>32.071428571428569</v>
      </c>
      <c r="L19" s="2" t="s">
        <v>60</v>
      </c>
      <c r="M19" s="6">
        <v>5</v>
      </c>
    </row>
    <row r="20" spans="4:13" x14ac:dyDescent="0.3">
      <c r="D20" s="2" t="s">
        <v>61</v>
      </c>
      <c r="E20">
        <v>18</v>
      </c>
      <c r="H20" s="2" t="s">
        <v>61</v>
      </c>
      <c r="I20" s="3">
        <v>34.222222222222221</v>
      </c>
      <c r="L20" s="2" t="s">
        <v>61</v>
      </c>
      <c r="M20" s="6">
        <v>3</v>
      </c>
    </row>
    <row r="21" spans="4:13" x14ac:dyDescent="0.3">
      <c r="D21" s="2" t="s">
        <v>62</v>
      </c>
      <c r="E21">
        <v>12</v>
      </c>
      <c r="H21" s="2" t="s">
        <v>62</v>
      </c>
      <c r="I21" s="3">
        <v>43.666666666666664</v>
      </c>
      <c r="L21" s="2" t="s">
        <v>62</v>
      </c>
      <c r="M21" s="6">
        <v>5.333333333333333</v>
      </c>
    </row>
    <row r="22" spans="4:13" x14ac:dyDescent="0.3">
      <c r="D22" s="2" t="s">
        <v>63</v>
      </c>
      <c r="E22">
        <v>18</v>
      </c>
      <c r="H22" s="2" t="s">
        <v>63</v>
      </c>
      <c r="I22" s="3">
        <v>38.5</v>
      </c>
      <c r="L22" s="2" t="s">
        <v>63</v>
      </c>
      <c r="M22" s="6">
        <v>5.833333333333333</v>
      </c>
    </row>
    <row r="23" spans="4:13" x14ac:dyDescent="0.3">
      <c r="D23" s="2" t="s">
        <v>64</v>
      </c>
      <c r="E23">
        <v>16</v>
      </c>
      <c r="H23" s="2" t="s">
        <v>64</v>
      </c>
      <c r="I23" s="3">
        <v>32.6875</v>
      </c>
      <c r="L23" s="2" t="s">
        <v>64</v>
      </c>
      <c r="M23" s="6">
        <v>5.8</v>
      </c>
    </row>
    <row r="24" spans="4:13" x14ac:dyDescent="0.3">
      <c r="D24" s="2" t="s">
        <v>65</v>
      </c>
      <c r="E24">
        <v>22</v>
      </c>
      <c r="H24" s="2" t="s">
        <v>65</v>
      </c>
      <c r="I24" s="3">
        <v>41.045454545454547</v>
      </c>
      <c r="L24" s="2" t="s">
        <v>65</v>
      </c>
      <c r="M24" s="6">
        <v>5.2</v>
      </c>
    </row>
    <row r="25" spans="4:13" x14ac:dyDescent="0.3">
      <c r="D25" s="2" t="s">
        <v>66</v>
      </c>
      <c r="E25">
        <v>16</v>
      </c>
      <c r="H25" s="2" t="s">
        <v>66</v>
      </c>
      <c r="I25" s="3">
        <v>36.6875</v>
      </c>
      <c r="L25" s="2" t="s">
        <v>66</v>
      </c>
      <c r="M25" s="6">
        <v>4.5</v>
      </c>
    </row>
    <row r="26" spans="4:13" x14ac:dyDescent="0.3">
      <c r="D26" s="2" t="s">
        <v>67</v>
      </c>
      <c r="E26">
        <v>10</v>
      </c>
      <c r="H26" s="2" t="s">
        <v>67</v>
      </c>
      <c r="I26" s="3">
        <v>38.5</v>
      </c>
      <c r="L26" s="2" t="s">
        <v>67</v>
      </c>
      <c r="M26" s="6">
        <v>6</v>
      </c>
    </row>
    <row r="27" spans="4:13" x14ac:dyDescent="0.3">
      <c r="D27" s="2" t="s">
        <v>68</v>
      </c>
      <c r="E27">
        <v>18</v>
      </c>
      <c r="H27" s="2" t="s">
        <v>68</v>
      </c>
      <c r="I27" s="3">
        <v>33.777777777777779</v>
      </c>
      <c r="L27" s="2" t="s">
        <v>68</v>
      </c>
      <c r="M27" s="6">
        <v>6.5</v>
      </c>
    </row>
    <row r="28" spans="4:13" x14ac:dyDescent="0.3">
      <c r="D28" s="2" t="s">
        <v>69</v>
      </c>
      <c r="E28">
        <v>13</v>
      </c>
      <c r="H28" s="2" t="s">
        <v>69</v>
      </c>
      <c r="I28" s="3">
        <v>41.692307692307693</v>
      </c>
      <c r="L28" s="2" t="s">
        <v>69</v>
      </c>
      <c r="M28" s="6">
        <v>4.166666666666667</v>
      </c>
    </row>
    <row r="29" spans="4:13" x14ac:dyDescent="0.3">
      <c r="D29" s="2" t="s">
        <v>70</v>
      </c>
      <c r="E29">
        <v>20</v>
      </c>
      <c r="H29" s="2" t="s">
        <v>70</v>
      </c>
      <c r="I29" s="3">
        <v>31.7</v>
      </c>
      <c r="L29" s="2" t="s">
        <v>70</v>
      </c>
      <c r="M29" s="6">
        <v>3.6666666666666665</v>
      </c>
    </row>
    <row r="30" spans="4:13" x14ac:dyDescent="0.3">
      <c r="D30" s="2" t="s">
        <v>71</v>
      </c>
      <c r="E30">
        <v>17</v>
      </c>
      <c r="H30" s="2" t="s">
        <v>71</v>
      </c>
      <c r="I30" s="3">
        <v>36.470588235294116</v>
      </c>
      <c r="L30" s="2" t="s">
        <v>71</v>
      </c>
      <c r="M30" s="6">
        <v>3.5</v>
      </c>
    </row>
    <row r="31" spans="4:13" x14ac:dyDescent="0.3">
      <c r="D31" s="2" t="s">
        <v>72</v>
      </c>
      <c r="E31">
        <v>19</v>
      </c>
      <c r="H31" s="2" t="s">
        <v>72</v>
      </c>
      <c r="I31" s="3">
        <v>37.210526315789473</v>
      </c>
      <c r="L31" s="2" t="s">
        <v>72</v>
      </c>
      <c r="M31" s="6">
        <v>6</v>
      </c>
    </row>
    <row r="32" spans="4:13" x14ac:dyDescent="0.3">
      <c r="D32" s="2" t="s">
        <v>73</v>
      </c>
      <c r="E32">
        <v>17</v>
      </c>
      <c r="H32" s="2" t="s">
        <v>73</v>
      </c>
      <c r="I32" s="3">
        <v>36.294117647058826</v>
      </c>
      <c r="L32" s="2" t="s">
        <v>73</v>
      </c>
      <c r="M32" s="6">
        <v>5.1428571428571432</v>
      </c>
    </row>
    <row r="33" spans="1:13" x14ac:dyDescent="0.3">
      <c r="D33" s="2" t="s">
        <v>74</v>
      </c>
      <c r="E33">
        <v>22</v>
      </c>
      <c r="H33" s="2" t="s">
        <v>74</v>
      </c>
      <c r="I33" s="3">
        <v>32</v>
      </c>
      <c r="L33" s="2" t="s">
        <v>74</v>
      </c>
      <c r="M33" s="6">
        <v>4</v>
      </c>
    </row>
    <row r="34" spans="1:13" x14ac:dyDescent="0.3">
      <c r="D34" s="2" t="s">
        <v>75</v>
      </c>
      <c r="E34">
        <v>9</v>
      </c>
      <c r="H34" s="2" t="s">
        <v>75</v>
      </c>
      <c r="I34" s="3">
        <v>41.444444444444443</v>
      </c>
      <c r="L34" s="2" t="s">
        <v>75</v>
      </c>
      <c r="M34" s="6">
        <v>3.5</v>
      </c>
    </row>
    <row r="35" spans="1:13" x14ac:dyDescent="0.3">
      <c r="D35" s="2" t="s">
        <v>76</v>
      </c>
      <c r="E35">
        <v>9</v>
      </c>
      <c r="H35" s="2" t="s">
        <v>76</v>
      </c>
      <c r="I35" s="3">
        <v>40.444444444444443</v>
      </c>
      <c r="L35" s="2" t="s">
        <v>76</v>
      </c>
      <c r="M35" s="6">
        <v>5</v>
      </c>
    </row>
    <row r="36" spans="1:13" x14ac:dyDescent="0.3">
      <c r="D36" s="2" t="s">
        <v>1</v>
      </c>
      <c r="E36">
        <v>494</v>
      </c>
      <c r="H36" s="2" t="s">
        <v>1</v>
      </c>
      <c r="I36">
        <v>36.392712550607285</v>
      </c>
      <c r="L36" s="2" t="s">
        <v>1</v>
      </c>
      <c r="M36">
        <v>5.0629921259842519</v>
      </c>
    </row>
    <row r="41" spans="1:13" x14ac:dyDescent="0.3">
      <c r="A41" s="1" t="s">
        <v>0</v>
      </c>
      <c r="B41" t="s">
        <v>13</v>
      </c>
      <c r="C41" t="s">
        <v>16</v>
      </c>
    </row>
    <row r="42" spans="1:13" x14ac:dyDescent="0.3">
      <c r="A42" s="2" t="s">
        <v>14</v>
      </c>
      <c r="B42" s="7">
        <v>234</v>
      </c>
      <c r="C42" s="8">
        <v>0.47368421052631576</v>
      </c>
    </row>
    <row r="43" spans="1:13" x14ac:dyDescent="0.3">
      <c r="A43" s="2" t="s">
        <v>15</v>
      </c>
      <c r="B43" s="7">
        <v>260</v>
      </c>
      <c r="C43" s="8">
        <v>0.52631578947368418</v>
      </c>
    </row>
    <row r="44" spans="1:13" x14ac:dyDescent="0.3">
      <c r="A44" s="2" t="s">
        <v>1</v>
      </c>
      <c r="B44" s="3">
        <v>494</v>
      </c>
      <c r="C44" s="8">
        <v>1</v>
      </c>
    </row>
    <row r="50" spans="1:4" x14ac:dyDescent="0.3">
      <c r="A50" s="9" t="s">
        <v>17</v>
      </c>
      <c r="B50" s="9" t="s">
        <v>19</v>
      </c>
      <c r="C50" s="9" t="s">
        <v>18</v>
      </c>
      <c r="D50" s="13"/>
    </row>
    <row r="51" spans="1:4" x14ac:dyDescent="0.3">
      <c r="A51" s="10" t="str">
        <f>A43</f>
        <v>Not Admitted</v>
      </c>
      <c r="B51" s="10">
        <f>B43</f>
        <v>260</v>
      </c>
      <c r="C51" s="11">
        <f>C43</f>
        <v>0.52631578947368418</v>
      </c>
    </row>
    <row r="52" spans="1:4" x14ac:dyDescent="0.3">
      <c r="A52" s="10" t="str">
        <f>A42</f>
        <v>Admitted</v>
      </c>
      <c r="B52" s="10">
        <f>B42</f>
        <v>234</v>
      </c>
      <c r="C52" s="11">
        <f>C42</f>
        <v>0.47368421052631576</v>
      </c>
    </row>
    <row r="54" spans="1:4" x14ac:dyDescent="0.3">
      <c r="A54" t="s">
        <v>29</v>
      </c>
    </row>
    <row r="55" spans="1:4" x14ac:dyDescent="0.3">
      <c r="A55" s="1" t="s">
        <v>0</v>
      </c>
      <c r="B55" t="s">
        <v>28</v>
      </c>
    </row>
    <row r="56" spans="1:4" x14ac:dyDescent="0.3">
      <c r="A56" s="2" t="s">
        <v>20</v>
      </c>
      <c r="B56" s="3">
        <v>64</v>
      </c>
    </row>
    <row r="57" spans="1:4" x14ac:dyDescent="0.3">
      <c r="A57" s="2" t="s">
        <v>21</v>
      </c>
      <c r="B57" s="3">
        <v>74</v>
      </c>
    </row>
    <row r="58" spans="1:4" x14ac:dyDescent="0.3">
      <c r="A58" s="2" t="s">
        <v>22</v>
      </c>
      <c r="B58" s="3">
        <v>54</v>
      </c>
    </row>
    <row r="59" spans="1:4" x14ac:dyDescent="0.3">
      <c r="A59" s="2" t="s">
        <v>23</v>
      </c>
      <c r="B59" s="3">
        <v>73</v>
      </c>
    </row>
    <row r="60" spans="1:4" x14ac:dyDescent="0.3">
      <c r="A60" s="2" t="s">
        <v>24</v>
      </c>
      <c r="B60" s="3">
        <v>62</v>
      </c>
    </row>
    <row r="61" spans="1:4" x14ac:dyDescent="0.3">
      <c r="A61" s="2" t="s">
        <v>25</v>
      </c>
      <c r="B61" s="3">
        <v>53</v>
      </c>
    </row>
    <row r="62" spans="1:4" x14ac:dyDescent="0.3">
      <c r="A62" s="2" t="s">
        <v>26</v>
      </c>
      <c r="B62" s="3">
        <v>62</v>
      </c>
    </row>
    <row r="63" spans="1:4" x14ac:dyDescent="0.3">
      <c r="A63" s="2" t="s">
        <v>27</v>
      </c>
      <c r="B63" s="3">
        <v>52</v>
      </c>
    </row>
    <row r="64" spans="1:4" x14ac:dyDescent="0.3">
      <c r="A64" s="2" t="s">
        <v>1</v>
      </c>
      <c r="B64" s="3">
        <v>494</v>
      </c>
    </row>
    <row r="70" spans="1:2" x14ac:dyDescent="0.3">
      <c r="A70" t="s">
        <v>33</v>
      </c>
    </row>
    <row r="71" spans="1:2" x14ac:dyDescent="0.3">
      <c r="A71" s="1" t="s">
        <v>0</v>
      </c>
      <c r="B71" t="s">
        <v>32</v>
      </c>
    </row>
    <row r="72" spans="1:2" x14ac:dyDescent="0.3">
      <c r="A72" s="2" t="s">
        <v>31</v>
      </c>
      <c r="B72" s="7">
        <v>307</v>
      </c>
    </row>
    <row r="73" spans="1:2" x14ac:dyDescent="0.3">
      <c r="A73" s="2" t="s">
        <v>30</v>
      </c>
      <c r="B73" s="7">
        <v>187</v>
      </c>
    </row>
    <row r="74" spans="1:2" x14ac:dyDescent="0.3">
      <c r="A74" s="2" t="s">
        <v>1</v>
      </c>
      <c r="B74" s="3">
        <v>494</v>
      </c>
    </row>
    <row r="77" spans="1:2" x14ac:dyDescent="0.3">
      <c r="A77" s="1" t="s">
        <v>0</v>
      </c>
      <c r="B77" t="s">
        <v>36</v>
      </c>
    </row>
    <row r="78" spans="1:2" x14ac:dyDescent="0.3">
      <c r="A78" s="2" t="s">
        <v>34</v>
      </c>
      <c r="B78" s="7">
        <v>241</v>
      </c>
    </row>
    <row r="79" spans="1:2" x14ac:dyDescent="0.3">
      <c r="A79" s="2" t="s">
        <v>35</v>
      </c>
      <c r="B79" s="7">
        <v>253</v>
      </c>
    </row>
    <row r="80" spans="1:2" x14ac:dyDescent="0.3">
      <c r="A80" s="2" t="s">
        <v>1</v>
      </c>
      <c r="B80" s="3">
        <v>494</v>
      </c>
    </row>
    <row r="83" spans="1:2" x14ac:dyDescent="0.3">
      <c r="A83" s="1" t="s">
        <v>0</v>
      </c>
      <c r="B83" t="s">
        <v>45</v>
      </c>
    </row>
    <row r="84" spans="1:2" x14ac:dyDescent="0.3">
      <c r="A84" s="2" t="s">
        <v>44</v>
      </c>
      <c r="B84" s="7">
        <v>6</v>
      </c>
    </row>
    <row r="85" spans="1:2" x14ac:dyDescent="0.3">
      <c r="A85" s="2" t="s">
        <v>40</v>
      </c>
      <c r="B85" s="7">
        <v>8</v>
      </c>
    </row>
    <row r="86" spans="1:2" x14ac:dyDescent="0.3">
      <c r="A86" s="2" t="s">
        <v>38</v>
      </c>
      <c r="B86" s="7">
        <v>8</v>
      </c>
    </row>
    <row r="87" spans="1:2" x14ac:dyDescent="0.3">
      <c r="A87" s="2" t="s">
        <v>43</v>
      </c>
      <c r="B87" s="7">
        <v>11</v>
      </c>
    </row>
    <row r="88" spans="1:2" x14ac:dyDescent="0.3">
      <c r="A88" s="2" t="s">
        <v>37</v>
      </c>
      <c r="B88" s="7">
        <v>17</v>
      </c>
    </row>
    <row r="89" spans="1:2" x14ac:dyDescent="0.3">
      <c r="A89" s="2" t="s">
        <v>42</v>
      </c>
      <c r="B89" s="7">
        <v>49</v>
      </c>
    </row>
    <row r="90" spans="1:2" x14ac:dyDescent="0.3">
      <c r="A90" s="2" t="s">
        <v>39</v>
      </c>
      <c r="B90" s="7">
        <v>92</v>
      </c>
    </row>
    <row r="91" spans="1:2" x14ac:dyDescent="0.3">
      <c r="A91" s="2" t="s">
        <v>41</v>
      </c>
      <c r="B91" s="7">
        <v>303</v>
      </c>
    </row>
    <row r="92" spans="1:2" x14ac:dyDescent="0.3">
      <c r="A92" s="2" t="s">
        <v>1</v>
      </c>
      <c r="B92" s="3">
        <v>494</v>
      </c>
    </row>
    <row r="95" spans="1:2" x14ac:dyDescent="0.3">
      <c r="A95" s="1" t="s">
        <v>0</v>
      </c>
    </row>
    <row r="96" spans="1:2" x14ac:dyDescent="0.3">
      <c r="A96" s="2" t="s">
        <v>6</v>
      </c>
    </row>
    <row r="97" spans="1:1" x14ac:dyDescent="0.3">
      <c r="A97" s="2" t="s">
        <v>1</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77341-6D86-4DEA-B7E6-CC561E4515E4}">
  <dimension ref="A1:K18"/>
  <sheetViews>
    <sheetView zoomScale="145" zoomScaleNormal="145" workbookViewId="0"/>
  </sheetViews>
  <sheetFormatPr defaultRowHeight="14.4" x14ac:dyDescent="0.3"/>
  <sheetData>
    <row r="1" spans="1:11" x14ac:dyDescent="0.3">
      <c r="A1" s="4"/>
      <c r="B1" s="4"/>
      <c r="C1" s="4"/>
      <c r="D1" s="4"/>
      <c r="E1" s="4"/>
      <c r="F1" s="4"/>
      <c r="G1" s="4"/>
      <c r="H1" s="4"/>
      <c r="I1" s="4"/>
      <c r="J1" s="4"/>
      <c r="K1" s="4"/>
    </row>
    <row r="2" spans="1:11" x14ac:dyDescent="0.3">
      <c r="A2" s="4"/>
      <c r="B2" s="4"/>
      <c r="C2" s="4"/>
      <c r="D2" s="4"/>
      <c r="E2" s="4"/>
      <c r="F2" s="4"/>
      <c r="G2" s="4"/>
      <c r="H2" s="4"/>
      <c r="I2" s="4"/>
      <c r="J2" s="4"/>
      <c r="K2" s="4"/>
    </row>
    <row r="3" spans="1:11" x14ac:dyDescent="0.3">
      <c r="A3" s="4"/>
      <c r="B3" s="4"/>
      <c r="C3" s="4"/>
      <c r="D3" s="4"/>
      <c r="E3" s="4"/>
      <c r="F3" s="4"/>
      <c r="G3" s="4"/>
      <c r="H3" s="4"/>
      <c r="I3" s="4"/>
      <c r="J3" s="4"/>
      <c r="K3" s="4"/>
    </row>
    <row r="4" spans="1:11" x14ac:dyDescent="0.3">
      <c r="A4" s="4"/>
      <c r="B4" s="4"/>
      <c r="C4" s="4"/>
      <c r="D4" s="4"/>
      <c r="E4" s="4"/>
      <c r="F4" s="4"/>
      <c r="G4" s="4"/>
      <c r="H4" s="4"/>
      <c r="I4" s="4"/>
      <c r="J4" s="4"/>
      <c r="K4" s="4"/>
    </row>
    <row r="5" spans="1:11" x14ac:dyDescent="0.3">
      <c r="A5" s="4"/>
      <c r="B5" s="4"/>
      <c r="C5" s="4"/>
      <c r="D5" s="4"/>
      <c r="E5" s="4"/>
      <c r="F5" s="4"/>
      <c r="G5" s="4"/>
      <c r="H5" s="4"/>
      <c r="I5" s="4"/>
      <c r="J5" s="4"/>
      <c r="K5" s="4"/>
    </row>
    <row r="6" spans="1:11" x14ac:dyDescent="0.3">
      <c r="A6" s="4"/>
      <c r="B6" s="4"/>
      <c r="C6" s="4"/>
      <c r="D6" s="4"/>
      <c r="E6" s="4"/>
      <c r="F6" s="4"/>
      <c r="G6" s="4"/>
      <c r="H6" s="4"/>
      <c r="I6" s="4"/>
      <c r="J6" s="4"/>
      <c r="K6" s="4"/>
    </row>
    <row r="7" spans="1:11" x14ac:dyDescent="0.3">
      <c r="A7" s="4"/>
      <c r="B7" s="4"/>
      <c r="C7" s="4"/>
      <c r="D7" s="4"/>
      <c r="E7" s="4"/>
      <c r="F7" s="4"/>
      <c r="G7" s="4"/>
      <c r="H7" s="4"/>
      <c r="I7" s="4"/>
      <c r="J7" s="4"/>
      <c r="K7" s="4"/>
    </row>
    <row r="8" spans="1:11" x14ac:dyDescent="0.3">
      <c r="A8" s="4"/>
      <c r="B8" s="4"/>
      <c r="C8" s="4"/>
      <c r="D8" s="4"/>
      <c r="E8" s="4"/>
      <c r="F8" s="4"/>
      <c r="G8" s="4"/>
      <c r="H8" s="4"/>
      <c r="I8" s="4"/>
      <c r="J8" s="4"/>
      <c r="K8" s="4"/>
    </row>
    <row r="9" spans="1:11" x14ac:dyDescent="0.3">
      <c r="A9" s="4"/>
      <c r="B9" s="4"/>
      <c r="C9" s="4"/>
      <c r="D9" s="4"/>
      <c r="E9" s="4"/>
      <c r="F9" s="4"/>
      <c r="G9" s="4"/>
      <c r="H9" s="4"/>
      <c r="I9" s="4"/>
      <c r="J9" s="4"/>
      <c r="K9" s="4"/>
    </row>
    <row r="10" spans="1:11" x14ac:dyDescent="0.3">
      <c r="A10" s="4"/>
      <c r="B10" s="4"/>
      <c r="C10" s="4"/>
      <c r="D10" s="4"/>
      <c r="E10" s="4"/>
      <c r="F10" s="4"/>
      <c r="G10" s="4"/>
      <c r="H10" s="4"/>
      <c r="I10" s="4"/>
      <c r="J10" s="4"/>
      <c r="K10" s="4"/>
    </row>
    <row r="11" spans="1:11" x14ac:dyDescent="0.3">
      <c r="A11" s="4"/>
      <c r="B11" s="4"/>
      <c r="C11" s="4"/>
      <c r="D11" s="4"/>
      <c r="E11" s="4"/>
      <c r="F11" s="4"/>
      <c r="G11" s="4"/>
      <c r="H11" s="4"/>
      <c r="I11" s="4"/>
      <c r="J11" s="4"/>
      <c r="K11" s="4"/>
    </row>
    <row r="12" spans="1:11" x14ac:dyDescent="0.3">
      <c r="A12" s="4"/>
      <c r="B12" s="4"/>
      <c r="C12" s="4"/>
      <c r="D12" s="4"/>
      <c r="E12" s="4"/>
      <c r="F12" s="4"/>
      <c r="G12" s="4"/>
      <c r="H12" s="4"/>
      <c r="I12" s="4"/>
      <c r="J12" s="4"/>
      <c r="K12" s="4"/>
    </row>
    <row r="13" spans="1:11" x14ac:dyDescent="0.3">
      <c r="A13" s="4"/>
      <c r="B13" s="4"/>
      <c r="C13" s="4"/>
      <c r="D13" s="4"/>
      <c r="E13" s="4"/>
      <c r="F13" s="4"/>
      <c r="G13" s="4"/>
      <c r="H13" s="4"/>
      <c r="I13" s="4"/>
      <c r="J13" s="4"/>
      <c r="K13" s="4"/>
    </row>
    <row r="14" spans="1:11" x14ac:dyDescent="0.3">
      <c r="A14" s="4"/>
      <c r="B14" s="4"/>
      <c r="C14" s="4"/>
      <c r="D14" s="4"/>
      <c r="E14" s="4"/>
      <c r="F14" s="4"/>
      <c r="G14" s="4"/>
      <c r="H14" s="4"/>
      <c r="I14" s="4"/>
      <c r="J14" s="4"/>
      <c r="K14" s="4"/>
    </row>
    <row r="15" spans="1:11" x14ac:dyDescent="0.3">
      <c r="A15" s="4"/>
      <c r="B15" s="4"/>
      <c r="C15" s="4"/>
      <c r="D15" s="4"/>
      <c r="E15" s="4"/>
      <c r="F15" s="4"/>
      <c r="G15" s="4"/>
      <c r="H15" s="4"/>
      <c r="I15" s="4"/>
      <c r="J15" s="4"/>
      <c r="K15" s="4"/>
    </row>
    <row r="16" spans="1:11" x14ac:dyDescent="0.3">
      <c r="A16" s="4"/>
      <c r="B16" s="4"/>
      <c r="C16" s="4"/>
      <c r="D16" s="4"/>
      <c r="E16" s="4"/>
      <c r="F16" s="4"/>
      <c r="G16" s="4"/>
      <c r="H16" s="4"/>
      <c r="I16" s="4"/>
      <c r="J16" s="4"/>
      <c r="K16" s="4"/>
    </row>
    <row r="17" spans="1:11" x14ac:dyDescent="0.3">
      <c r="A17" s="5" t="s">
        <v>10</v>
      </c>
      <c r="B17" s="4"/>
      <c r="C17" s="4"/>
      <c r="D17" s="4"/>
      <c r="E17" s="4"/>
      <c r="F17" s="4"/>
      <c r="G17" s="4"/>
      <c r="H17" s="4"/>
      <c r="I17" s="4"/>
      <c r="J17" s="4"/>
      <c r="K17" s="4"/>
    </row>
    <row r="18" spans="1:11" x14ac:dyDescent="0.3">
      <c r="A18" s="4"/>
      <c r="B18" s="4"/>
      <c r="C18" s="4"/>
      <c r="D18" s="4"/>
      <c r="E18" s="4"/>
      <c r="F18" s="4"/>
      <c r="G18" s="4"/>
      <c r="H18" s="4"/>
      <c r="I18" s="4"/>
      <c r="J18" s="4"/>
      <c r="K18" s="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C1006-8AFC-4862-9185-793E7C239052}">
  <dimension ref="A1:S21"/>
  <sheetViews>
    <sheetView zoomScale="115" zoomScaleNormal="115" workbookViewId="0"/>
  </sheetViews>
  <sheetFormatPr defaultRowHeight="14.4" x14ac:dyDescent="0.3"/>
  <sheetData>
    <row r="1" spans="1:19" x14ac:dyDescent="0.3">
      <c r="A1" s="4"/>
      <c r="B1" s="4"/>
      <c r="C1" s="4"/>
      <c r="D1" s="4"/>
      <c r="E1" s="4"/>
      <c r="F1" s="4"/>
      <c r="G1" s="4"/>
      <c r="H1" s="4"/>
      <c r="I1" s="4"/>
      <c r="J1" s="4"/>
      <c r="K1" s="4"/>
      <c r="L1" s="4"/>
      <c r="M1" s="4"/>
      <c r="N1" s="4"/>
      <c r="O1" s="4"/>
      <c r="P1" s="4"/>
      <c r="Q1" s="4"/>
      <c r="R1" s="4"/>
      <c r="S1" s="4"/>
    </row>
    <row r="2" spans="1:19" x14ac:dyDescent="0.3">
      <c r="A2" s="4"/>
      <c r="B2" s="4"/>
      <c r="C2" s="4"/>
      <c r="D2" s="4"/>
      <c r="E2" s="4"/>
      <c r="F2" s="4"/>
      <c r="G2" s="4"/>
      <c r="H2" s="4"/>
      <c r="I2" s="4"/>
      <c r="J2" s="4"/>
      <c r="K2" s="4"/>
      <c r="L2" s="4"/>
      <c r="M2" s="4"/>
      <c r="N2" s="4"/>
      <c r="O2" s="4"/>
      <c r="P2" s="4"/>
      <c r="Q2" s="4"/>
      <c r="R2" s="4"/>
      <c r="S2" s="4"/>
    </row>
    <row r="3" spans="1:19" x14ac:dyDescent="0.3">
      <c r="A3" s="4"/>
      <c r="B3" s="4"/>
      <c r="C3" s="4"/>
      <c r="D3" s="4"/>
      <c r="E3" s="4"/>
      <c r="F3" s="4"/>
      <c r="G3" s="4"/>
      <c r="H3" s="4"/>
      <c r="I3" s="4"/>
      <c r="J3" s="4"/>
      <c r="K3" s="4"/>
      <c r="L3" s="4"/>
      <c r="M3" s="4"/>
      <c r="N3" s="4"/>
      <c r="O3" s="4"/>
      <c r="P3" s="4"/>
      <c r="Q3" s="4"/>
      <c r="R3" s="4"/>
      <c r="S3" s="4"/>
    </row>
    <row r="4" spans="1:19" x14ac:dyDescent="0.3">
      <c r="A4" s="4"/>
      <c r="B4" s="4"/>
      <c r="C4" s="4"/>
      <c r="D4" s="4"/>
      <c r="E4" s="4"/>
      <c r="F4" s="4"/>
      <c r="G4" s="4"/>
      <c r="H4" s="4"/>
      <c r="I4" s="4"/>
      <c r="J4" s="4"/>
      <c r="K4" s="4"/>
      <c r="L4" s="4"/>
      <c r="M4" s="4"/>
      <c r="N4" s="4"/>
      <c r="O4" s="4"/>
      <c r="P4" s="4"/>
      <c r="Q4" s="4"/>
      <c r="R4" s="4"/>
      <c r="S4" s="4"/>
    </row>
    <row r="5" spans="1:19" x14ac:dyDescent="0.3">
      <c r="A5" s="4"/>
      <c r="B5" s="4"/>
      <c r="C5" s="4"/>
      <c r="D5" s="4"/>
      <c r="E5" s="4"/>
      <c r="F5" s="4"/>
      <c r="G5" s="4"/>
      <c r="H5" s="4"/>
      <c r="I5" s="4"/>
      <c r="J5" s="4"/>
      <c r="K5" s="4"/>
      <c r="L5" s="4"/>
      <c r="M5" s="4"/>
      <c r="N5" s="4"/>
      <c r="O5" s="4"/>
      <c r="P5" s="4"/>
      <c r="Q5" s="4"/>
      <c r="R5" s="4"/>
      <c r="S5" s="4"/>
    </row>
    <row r="6" spans="1:19" x14ac:dyDescent="0.3">
      <c r="A6" s="4"/>
      <c r="B6" s="4"/>
      <c r="C6" s="4"/>
      <c r="D6" s="4"/>
      <c r="E6" s="4"/>
      <c r="F6" s="4"/>
      <c r="G6" s="4"/>
      <c r="H6" s="4"/>
      <c r="I6" s="4"/>
      <c r="J6" s="4"/>
      <c r="K6" s="4"/>
      <c r="L6" s="4"/>
      <c r="M6" s="4"/>
      <c r="N6" s="4"/>
      <c r="O6" s="4"/>
      <c r="P6" s="4"/>
      <c r="Q6" s="4"/>
      <c r="R6" s="4"/>
      <c r="S6" s="4"/>
    </row>
    <row r="7" spans="1:19" x14ac:dyDescent="0.3">
      <c r="A7" s="4"/>
      <c r="B7" s="4"/>
      <c r="C7" s="4"/>
      <c r="D7" s="4"/>
      <c r="E7" s="4"/>
      <c r="F7" s="4"/>
      <c r="G7" s="4"/>
      <c r="H7" s="4"/>
      <c r="I7" s="4"/>
      <c r="J7" s="4"/>
      <c r="K7" s="4"/>
      <c r="L7" s="4"/>
      <c r="M7" s="4"/>
      <c r="N7" s="4"/>
      <c r="O7" s="4"/>
      <c r="P7" s="4"/>
      <c r="Q7" s="4"/>
      <c r="R7" s="4"/>
      <c r="S7" s="4"/>
    </row>
    <row r="8" spans="1:19" x14ac:dyDescent="0.3">
      <c r="A8" s="4"/>
      <c r="B8" s="4"/>
      <c r="C8" s="4"/>
      <c r="D8" s="4"/>
      <c r="E8" s="4"/>
      <c r="F8" s="4"/>
      <c r="G8" s="4"/>
      <c r="H8" s="4"/>
      <c r="I8" s="4"/>
      <c r="J8" s="4"/>
      <c r="K8" s="4"/>
      <c r="L8" s="4"/>
      <c r="M8" s="4"/>
      <c r="N8" s="4"/>
      <c r="O8" s="4"/>
      <c r="P8" s="4"/>
      <c r="Q8" s="4"/>
      <c r="R8" s="4"/>
      <c r="S8" s="4"/>
    </row>
    <row r="9" spans="1:19" x14ac:dyDescent="0.3">
      <c r="A9" s="4"/>
      <c r="B9" s="4"/>
      <c r="C9" s="4"/>
      <c r="D9" s="4"/>
      <c r="E9" s="4"/>
      <c r="F9" s="4"/>
      <c r="G9" s="4"/>
      <c r="H9" s="4"/>
      <c r="I9" s="4"/>
      <c r="J9" s="4"/>
      <c r="K9" s="4"/>
      <c r="L9" s="4"/>
      <c r="M9" s="4"/>
      <c r="N9" s="4"/>
      <c r="O9" s="4"/>
      <c r="P9" s="4"/>
      <c r="Q9" s="4"/>
      <c r="R9" s="4"/>
      <c r="S9" s="4"/>
    </row>
    <row r="10" spans="1:19" x14ac:dyDescent="0.3">
      <c r="A10" s="4"/>
      <c r="B10" s="4"/>
      <c r="C10" s="4"/>
      <c r="D10" s="4"/>
      <c r="E10" s="4"/>
      <c r="F10" s="4"/>
      <c r="G10" s="4"/>
      <c r="H10" s="4"/>
      <c r="I10" s="4"/>
      <c r="J10" s="4"/>
      <c r="K10" s="4"/>
      <c r="L10" s="4"/>
      <c r="M10" s="4"/>
      <c r="N10" s="4"/>
      <c r="O10" s="4"/>
      <c r="P10" s="4"/>
      <c r="Q10" s="4"/>
      <c r="R10" s="4"/>
      <c r="S10" s="4"/>
    </row>
    <row r="11" spans="1:19" x14ac:dyDescent="0.3">
      <c r="A11" s="4"/>
      <c r="B11" s="4"/>
      <c r="C11" s="4"/>
      <c r="D11" s="4"/>
      <c r="E11" s="4"/>
      <c r="F11" s="4"/>
      <c r="G11" s="4"/>
      <c r="H11" s="4"/>
      <c r="I11" s="4"/>
      <c r="J11" s="4"/>
      <c r="K11" s="4"/>
      <c r="L11" s="4"/>
      <c r="M11" s="4"/>
      <c r="N11" s="4"/>
      <c r="O11" s="4"/>
      <c r="P11" s="4"/>
      <c r="Q11" s="4"/>
      <c r="R11" s="4"/>
      <c r="S11" s="4"/>
    </row>
    <row r="12" spans="1:19" x14ac:dyDescent="0.3">
      <c r="A12" s="4"/>
      <c r="B12" s="4"/>
      <c r="C12" s="4"/>
      <c r="D12" s="4"/>
      <c r="E12" s="4"/>
      <c r="F12" s="4"/>
      <c r="G12" s="4"/>
      <c r="H12" s="4"/>
      <c r="I12" s="4"/>
      <c r="J12" s="4"/>
      <c r="K12" s="4"/>
      <c r="L12" s="4"/>
      <c r="M12" s="4"/>
      <c r="N12" s="4"/>
      <c r="O12" s="4"/>
      <c r="P12" s="4"/>
      <c r="Q12" s="4"/>
      <c r="R12" s="4"/>
      <c r="S12" s="4"/>
    </row>
    <row r="13" spans="1:19" x14ac:dyDescent="0.3">
      <c r="A13" s="4"/>
      <c r="B13" s="4"/>
      <c r="C13" s="4"/>
      <c r="D13" s="4"/>
      <c r="E13" s="4"/>
      <c r="F13" s="4"/>
      <c r="G13" s="4"/>
      <c r="H13" s="4"/>
      <c r="I13" s="4"/>
      <c r="J13" s="4"/>
      <c r="K13" s="4"/>
      <c r="L13" s="4"/>
      <c r="M13" s="4"/>
      <c r="N13" s="4"/>
      <c r="O13" s="4"/>
      <c r="P13" s="4"/>
      <c r="Q13" s="4"/>
      <c r="R13" s="4"/>
      <c r="S13" s="4"/>
    </row>
    <row r="14" spans="1:19" x14ac:dyDescent="0.3">
      <c r="A14" s="4"/>
      <c r="B14" s="4"/>
      <c r="C14" s="4"/>
      <c r="D14" s="4"/>
      <c r="E14" s="4"/>
      <c r="F14" s="4"/>
      <c r="G14" s="4"/>
      <c r="H14" s="4"/>
      <c r="I14" s="4"/>
      <c r="J14" s="4"/>
      <c r="K14" s="4"/>
      <c r="L14" s="4"/>
      <c r="M14" s="4"/>
      <c r="N14" s="4"/>
      <c r="O14" s="4"/>
      <c r="P14" s="4"/>
      <c r="Q14" s="4"/>
      <c r="R14" s="4"/>
      <c r="S14" s="4"/>
    </row>
    <row r="15" spans="1:19" x14ac:dyDescent="0.3">
      <c r="A15" s="4"/>
      <c r="B15" s="4"/>
      <c r="C15" s="4"/>
      <c r="D15" s="4"/>
      <c r="E15" s="4"/>
      <c r="F15" s="4"/>
      <c r="G15" s="4"/>
      <c r="H15" s="4"/>
      <c r="I15" s="4"/>
      <c r="J15" s="4"/>
      <c r="K15" s="4"/>
      <c r="L15" s="4"/>
      <c r="M15" s="4"/>
      <c r="N15" s="4"/>
      <c r="O15" s="4"/>
      <c r="P15" s="4"/>
      <c r="Q15" s="4"/>
      <c r="R15" s="4"/>
      <c r="S15" s="4"/>
    </row>
    <row r="16" spans="1:19" x14ac:dyDescent="0.3">
      <c r="A16" s="4"/>
      <c r="B16" s="4"/>
      <c r="C16" s="4"/>
      <c r="D16" s="4"/>
      <c r="E16" s="4"/>
      <c r="F16" s="4"/>
      <c r="G16" s="4"/>
      <c r="H16" s="4"/>
      <c r="I16" s="4"/>
      <c r="J16" s="4"/>
      <c r="K16" s="4"/>
      <c r="L16" s="4"/>
      <c r="M16" s="4"/>
      <c r="N16" s="4"/>
      <c r="O16" s="4"/>
      <c r="P16" s="4"/>
      <c r="Q16" s="4"/>
      <c r="R16" s="4"/>
      <c r="S16" s="4"/>
    </row>
    <row r="17" spans="1:19" x14ac:dyDescent="0.3">
      <c r="A17" s="4"/>
      <c r="B17" s="4"/>
      <c r="C17" s="4"/>
      <c r="D17" s="4"/>
      <c r="E17" s="4"/>
      <c r="F17" s="4"/>
      <c r="G17" s="4"/>
      <c r="H17" s="4"/>
      <c r="I17" s="4"/>
      <c r="J17" s="4"/>
      <c r="K17" s="4"/>
      <c r="L17" s="4"/>
      <c r="M17" s="4"/>
      <c r="N17" s="4"/>
      <c r="O17" s="4"/>
      <c r="P17" s="4"/>
      <c r="Q17" s="4"/>
      <c r="R17" s="4"/>
      <c r="S17" s="4"/>
    </row>
    <row r="18" spans="1:19" x14ac:dyDescent="0.3">
      <c r="A18" s="4"/>
      <c r="B18" s="4"/>
      <c r="C18" s="4"/>
      <c r="D18" s="4"/>
      <c r="E18" s="4"/>
      <c r="F18" s="4"/>
      <c r="G18" s="4"/>
      <c r="H18" s="4"/>
      <c r="I18" s="4"/>
      <c r="J18" s="4"/>
      <c r="K18" s="4"/>
      <c r="L18" s="4"/>
      <c r="M18" s="4"/>
      <c r="N18" s="4"/>
      <c r="O18" s="4"/>
      <c r="P18" s="4"/>
      <c r="Q18" s="4"/>
      <c r="R18" s="4"/>
      <c r="S18" s="4"/>
    </row>
    <row r="19" spans="1:19" x14ac:dyDescent="0.3">
      <c r="A19" s="4"/>
      <c r="B19" s="4"/>
      <c r="C19" s="4"/>
      <c r="D19" s="4"/>
      <c r="E19" s="4"/>
      <c r="F19" s="4"/>
      <c r="G19" s="4"/>
      <c r="H19" s="4"/>
      <c r="I19" s="4"/>
      <c r="J19" s="4"/>
      <c r="K19" s="4"/>
      <c r="L19" s="4"/>
      <c r="M19" s="4"/>
      <c r="N19" s="4"/>
      <c r="O19" s="4"/>
      <c r="P19" s="4"/>
      <c r="Q19" s="4"/>
      <c r="R19" s="4"/>
      <c r="S19" s="4"/>
    </row>
    <row r="20" spans="1:19" x14ac:dyDescent="0.3">
      <c r="A20" s="4"/>
      <c r="B20" s="5" t="s">
        <v>9</v>
      </c>
      <c r="C20" s="4"/>
      <c r="D20" s="4"/>
      <c r="E20" s="4"/>
      <c r="F20" s="4"/>
      <c r="G20" s="4"/>
      <c r="H20" s="4"/>
      <c r="I20" s="4"/>
      <c r="J20" s="4"/>
      <c r="K20" s="4"/>
      <c r="L20" s="4"/>
      <c r="M20" s="4"/>
      <c r="N20" s="4"/>
      <c r="O20" s="4"/>
      <c r="P20" s="4"/>
      <c r="Q20" s="4"/>
      <c r="R20" s="4"/>
      <c r="S20" s="4"/>
    </row>
    <row r="21" spans="1:19" x14ac:dyDescent="0.3">
      <c r="A21" s="4"/>
      <c r="B21" s="4"/>
      <c r="C21" s="4"/>
      <c r="D21" s="4"/>
      <c r="E21" s="4"/>
      <c r="F21" s="4"/>
      <c r="G21" s="4"/>
      <c r="H21" s="4"/>
      <c r="I21" s="4"/>
      <c r="J21" s="4"/>
      <c r="K21" s="4"/>
      <c r="L21" s="4"/>
      <c r="M21" s="4"/>
      <c r="N21" s="4"/>
      <c r="O21" s="4"/>
      <c r="P21" s="4"/>
      <c r="Q21" s="4"/>
      <c r="R21" s="4"/>
      <c r="S21" s="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23960-DCF1-4D85-B621-D4A0224FA436}">
  <dimension ref="A1:S21"/>
  <sheetViews>
    <sheetView zoomScale="115" zoomScaleNormal="115" workbookViewId="0">
      <selection activeCell="N19" sqref="N19"/>
    </sheetView>
  </sheetViews>
  <sheetFormatPr defaultRowHeight="14.4" x14ac:dyDescent="0.3"/>
  <sheetData>
    <row r="1" spans="1:19" x14ac:dyDescent="0.3">
      <c r="A1" s="4"/>
      <c r="B1" s="4"/>
      <c r="C1" s="4"/>
      <c r="D1" s="4"/>
      <c r="E1" s="4"/>
      <c r="F1" s="4"/>
      <c r="G1" s="4"/>
      <c r="H1" s="4"/>
      <c r="I1" s="4"/>
      <c r="J1" s="4"/>
      <c r="K1" s="4"/>
      <c r="L1" s="4"/>
      <c r="M1" s="4"/>
      <c r="N1" s="4"/>
      <c r="O1" s="4"/>
      <c r="P1" s="4"/>
      <c r="Q1" s="4"/>
      <c r="R1" s="4"/>
      <c r="S1" s="4"/>
    </row>
    <row r="2" spans="1:19" x14ac:dyDescent="0.3">
      <c r="A2" s="4"/>
      <c r="B2" s="4"/>
      <c r="C2" s="4"/>
      <c r="D2" s="4"/>
      <c r="E2" s="4"/>
      <c r="F2" s="4"/>
      <c r="G2" s="4"/>
      <c r="H2" s="4"/>
      <c r="I2" s="4"/>
      <c r="J2" s="4"/>
      <c r="K2" s="4"/>
      <c r="L2" s="4"/>
      <c r="M2" s="4"/>
      <c r="N2" s="4"/>
      <c r="O2" s="4"/>
      <c r="P2" s="4"/>
      <c r="Q2" s="4"/>
      <c r="R2" s="4"/>
      <c r="S2" s="4"/>
    </row>
    <row r="3" spans="1:19" x14ac:dyDescent="0.3">
      <c r="A3" s="4"/>
      <c r="B3" s="4"/>
      <c r="C3" s="4"/>
      <c r="D3" s="4"/>
      <c r="E3" s="4"/>
      <c r="F3" s="4"/>
      <c r="G3" s="4"/>
      <c r="H3" s="4"/>
      <c r="I3" s="4"/>
      <c r="J3" s="4"/>
      <c r="K3" s="4"/>
      <c r="L3" s="4"/>
      <c r="M3" s="4"/>
      <c r="N3" s="4"/>
      <c r="O3" s="4"/>
      <c r="P3" s="4"/>
      <c r="Q3" s="4"/>
      <c r="R3" s="4"/>
      <c r="S3" s="4"/>
    </row>
    <row r="4" spans="1:19" x14ac:dyDescent="0.3">
      <c r="A4" s="4"/>
      <c r="B4" s="4"/>
      <c r="C4" s="4"/>
      <c r="D4" s="4"/>
      <c r="E4" s="4"/>
      <c r="F4" s="4"/>
      <c r="G4" s="4"/>
      <c r="H4" s="4"/>
      <c r="I4" s="4"/>
      <c r="J4" s="4"/>
      <c r="K4" s="4"/>
      <c r="L4" s="4"/>
      <c r="M4" s="4"/>
      <c r="N4" s="4"/>
      <c r="O4" s="4"/>
      <c r="P4" s="4"/>
      <c r="Q4" s="4"/>
      <c r="R4" s="4"/>
      <c r="S4" s="4"/>
    </row>
    <row r="5" spans="1:19" x14ac:dyDescent="0.3">
      <c r="A5" s="4"/>
      <c r="B5" s="4"/>
      <c r="C5" s="4"/>
      <c r="D5" s="4"/>
      <c r="E5" s="4"/>
      <c r="F5" s="4"/>
      <c r="G5" s="4"/>
      <c r="H5" s="4"/>
      <c r="I5" s="4"/>
      <c r="J5" s="4"/>
      <c r="K5" s="4"/>
      <c r="L5" s="4"/>
      <c r="M5" s="4"/>
      <c r="N5" s="4"/>
      <c r="O5" s="4"/>
      <c r="P5" s="4"/>
      <c r="Q5" s="4"/>
      <c r="R5" s="4"/>
      <c r="S5" s="4"/>
    </row>
    <row r="6" spans="1:19" x14ac:dyDescent="0.3">
      <c r="A6" s="4"/>
      <c r="B6" s="4"/>
      <c r="C6" s="4"/>
      <c r="D6" s="4"/>
      <c r="E6" s="4"/>
      <c r="F6" s="4"/>
      <c r="G6" s="4"/>
      <c r="H6" s="4"/>
      <c r="I6" s="4"/>
      <c r="J6" s="4"/>
      <c r="K6" s="4"/>
      <c r="L6" s="4"/>
      <c r="M6" s="4"/>
      <c r="N6" s="4"/>
      <c r="O6" s="4"/>
      <c r="P6" s="4"/>
      <c r="Q6" s="4"/>
      <c r="R6" s="4"/>
      <c r="S6" s="4"/>
    </row>
    <row r="7" spans="1:19" x14ac:dyDescent="0.3">
      <c r="A7" s="4"/>
      <c r="B7" s="4"/>
      <c r="C7" s="4"/>
      <c r="D7" s="4"/>
      <c r="E7" s="4"/>
      <c r="F7" s="4"/>
      <c r="G7" s="4"/>
      <c r="H7" s="4"/>
      <c r="I7" s="4"/>
      <c r="J7" s="4"/>
      <c r="K7" s="4"/>
      <c r="L7" s="4"/>
      <c r="M7" s="4"/>
      <c r="N7" s="4"/>
      <c r="O7" s="4"/>
      <c r="P7" s="4"/>
      <c r="Q7" s="4"/>
      <c r="R7" s="4"/>
      <c r="S7" s="4"/>
    </row>
    <row r="8" spans="1:19" x14ac:dyDescent="0.3">
      <c r="A8" s="4"/>
      <c r="B8" s="4"/>
      <c r="C8" s="4"/>
      <c r="D8" s="4"/>
      <c r="E8" s="4"/>
      <c r="F8" s="4"/>
      <c r="G8" s="4"/>
      <c r="H8" s="4"/>
      <c r="I8" s="4"/>
      <c r="J8" s="4"/>
      <c r="K8" s="4"/>
      <c r="L8" s="4"/>
      <c r="M8" s="4"/>
      <c r="N8" s="4"/>
      <c r="O8" s="4"/>
      <c r="P8" s="4"/>
      <c r="Q8" s="4"/>
      <c r="R8" s="4"/>
      <c r="S8" s="4"/>
    </row>
    <row r="9" spans="1:19" x14ac:dyDescent="0.3">
      <c r="A9" s="4"/>
      <c r="B9" s="4"/>
      <c r="C9" s="4"/>
      <c r="D9" s="4"/>
      <c r="E9" s="4"/>
      <c r="F9" s="4"/>
      <c r="G9" s="4"/>
      <c r="H9" s="4"/>
      <c r="I9" s="4"/>
      <c r="J9" s="4"/>
      <c r="K9" s="4"/>
      <c r="L9" s="4"/>
      <c r="M9" s="4"/>
      <c r="N9" s="4"/>
      <c r="O9" s="4"/>
      <c r="P9" s="4"/>
      <c r="Q9" s="4"/>
      <c r="R9" s="4"/>
      <c r="S9" s="4"/>
    </row>
    <row r="10" spans="1:19" x14ac:dyDescent="0.3">
      <c r="A10" s="4"/>
      <c r="B10" s="4"/>
      <c r="C10" s="4"/>
      <c r="D10" s="4"/>
      <c r="E10" s="4"/>
      <c r="F10" s="4"/>
      <c r="G10" s="4"/>
      <c r="H10" s="4"/>
      <c r="I10" s="4"/>
      <c r="J10" s="4"/>
      <c r="K10" s="4"/>
      <c r="L10" s="4"/>
      <c r="M10" s="4"/>
      <c r="N10" s="4"/>
      <c r="O10" s="4"/>
      <c r="P10" s="4"/>
      <c r="Q10" s="4"/>
      <c r="R10" s="4"/>
      <c r="S10" s="4"/>
    </row>
    <row r="11" spans="1:19" x14ac:dyDescent="0.3">
      <c r="A11" s="4"/>
      <c r="B11" s="4"/>
      <c r="C11" s="4"/>
      <c r="D11" s="4"/>
      <c r="E11" s="4"/>
      <c r="F11" s="4"/>
      <c r="G11" s="4"/>
      <c r="H11" s="4"/>
      <c r="I11" s="4"/>
      <c r="J11" s="4"/>
      <c r="K11" s="4"/>
      <c r="L11" s="4"/>
      <c r="M11" s="4"/>
      <c r="N11" s="4"/>
      <c r="O11" s="4"/>
      <c r="P11" s="4"/>
      <c r="Q11" s="4"/>
      <c r="R11" s="4"/>
      <c r="S11" s="4"/>
    </row>
    <row r="12" spans="1:19" x14ac:dyDescent="0.3">
      <c r="A12" s="4"/>
      <c r="B12" s="4"/>
      <c r="C12" s="4"/>
      <c r="D12" s="4"/>
      <c r="E12" s="4"/>
      <c r="F12" s="4"/>
      <c r="G12" s="4"/>
      <c r="H12" s="4"/>
      <c r="I12" s="4"/>
      <c r="J12" s="4"/>
      <c r="K12" s="4"/>
      <c r="L12" s="4"/>
      <c r="M12" s="4"/>
      <c r="N12" s="4"/>
      <c r="O12" s="4"/>
      <c r="P12" s="4"/>
      <c r="Q12" s="4"/>
      <c r="R12" s="4"/>
      <c r="S12" s="4"/>
    </row>
    <row r="13" spans="1:19" x14ac:dyDescent="0.3">
      <c r="A13" s="4"/>
      <c r="B13" s="4"/>
      <c r="C13" s="4"/>
      <c r="D13" s="4"/>
      <c r="E13" s="4"/>
      <c r="F13" s="4"/>
      <c r="G13" s="4"/>
      <c r="H13" s="4"/>
      <c r="I13" s="4"/>
      <c r="J13" s="4"/>
      <c r="K13" s="4"/>
      <c r="L13" s="4"/>
      <c r="M13" s="4"/>
      <c r="N13" s="4"/>
      <c r="O13" s="4"/>
      <c r="P13" s="4"/>
      <c r="Q13" s="4"/>
      <c r="R13" s="4"/>
      <c r="S13" s="4"/>
    </row>
    <row r="14" spans="1:19" x14ac:dyDescent="0.3">
      <c r="A14" s="4"/>
      <c r="B14" s="4"/>
      <c r="C14" s="4"/>
      <c r="D14" s="4"/>
      <c r="E14" s="4"/>
      <c r="F14" s="4"/>
      <c r="G14" s="4"/>
      <c r="H14" s="4"/>
      <c r="I14" s="4"/>
      <c r="J14" s="4"/>
      <c r="K14" s="4"/>
      <c r="L14" s="4"/>
      <c r="M14" s="4"/>
      <c r="N14" s="4"/>
      <c r="O14" s="4"/>
      <c r="P14" s="4"/>
      <c r="Q14" s="4"/>
      <c r="R14" s="4"/>
      <c r="S14" s="4"/>
    </row>
    <row r="15" spans="1:19" x14ac:dyDescent="0.3">
      <c r="A15" s="4"/>
      <c r="B15" s="4"/>
      <c r="C15" s="4"/>
      <c r="D15" s="4"/>
      <c r="E15" s="4"/>
      <c r="F15" s="4"/>
      <c r="G15" s="4"/>
      <c r="H15" s="4"/>
      <c r="I15" s="4"/>
      <c r="J15" s="4"/>
      <c r="K15" s="4"/>
      <c r="L15" s="4"/>
      <c r="M15" s="4"/>
      <c r="N15" s="4"/>
      <c r="O15" s="4"/>
      <c r="P15" s="4"/>
      <c r="Q15" s="4"/>
      <c r="R15" s="4"/>
      <c r="S15" s="4"/>
    </row>
    <row r="16" spans="1:19" x14ac:dyDescent="0.3">
      <c r="A16" s="4"/>
      <c r="B16" s="4"/>
      <c r="C16" s="4"/>
      <c r="D16" s="4"/>
      <c r="E16" s="4"/>
      <c r="F16" s="4"/>
      <c r="G16" s="4"/>
      <c r="H16" s="4"/>
      <c r="I16" s="4"/>
      <c r="J16" s="4"/>
      <c r="K16" s="4"/>
      <c r="L16" s="4"/>
      <c r="M16" s="4"/>
      <c r="N16" s="4"/>
      <c r="O16" s="4"/>
      <c r="P16" s="4"/>
      <c r="Q16" s="4"/>
      <c r="R16" s="4"/>
      <c r="S16" s="4"/>
    </row>
    <row r="17" spans="1:19" x14ac:dyDescent="0.3">
      <c r="A17" s="4"/>
      <c r="B17" s="4"/>
      <c r="C17" s="4"/>
      <c r="D17" s="4"/>
      <c r="E17" s="4"/>
      <c r="F17" s="4"/>
      <c r="G17" s="4"/>
      <c r="H17" s="4"/>
      <c r="I17" s="4"/>
      <c r="J17" s="4"/>
      <c r="K17" s="4"/>
      <c r="L17" s="4"/>
      <c r="M17" s="4"/>
      <c r="N17" s="4"/>
      <c r="O17" s="4"/>
      <c r="P17" s="4"/>
      <c r="Q17" s="4"/>
      <c r="R17" s="4"/>
      <c r="S17" s="4"/>
    </row>
    <row r="18" spans="1:19" x14ac:dyDescent="0.3">
      <c r="A18" s="4"/>
      <c r="B18" s="5" t="s">
        <v>12</v>
      </c>
      <c r="C18" s="4"/>
      <c r="D18" s="4"/>
      <c r="E18" s="4"/>
      <c r="F18" s="4"/>
      <c r="G18" s="4"/>
      <c r="H18" s="4"/>
      <c r="I18" s="4"/>
      <c r="J18" s="4"/>
      <c r="K18" s="4"/>
      <c r="L18" s="4"/>
      <c r="M18" s="4"/>
      <c r="N18" s="4"/>
      <c r="O18" s="4"/>
      <c r="P18" s="4"/>
      <c r="Q18" s="4"/>
      <c r="R18" s="4"/>
      <c r="S18" s="4"/>
    </row>
    <row r="19" spans="1:19" x14ac:dyDescent="0.3">
      <c r="A19" s="4"/>
      <c r="B19" s="4"/>
      <c r="C19" s="4"/>
      <c r="D19" s="4"/>
      <c r="E19" s="4"/>
      <c r="F19" s="4"/>
      <c r="G19" s="4"/>
      <c r="H19" s="4"/>
      <c r="I19" s="4"/>
      <c r="J19" s="4"/>
      <c r="K19" s="4"/>
      <c r="L19" s="4"/>
      <c r="M19" s="4"/>
      <c r="N19" s="4"/>
      <c r="O19" s="4"/>
      <c r="P19" s="4"/>
      <c r="Q19" s="4"/>
      <c r="R19" s="4"/>
      <c r="S19" s="4"/>
    </row>
    <row r="20" spans="1:19" x14ac:dyDescent="0.3">
      <c r="A20" s="4"/>
      <c r="B20" s="5"/>
      <c r="C20" s="4"/>
      <c r="D20" s="4"/>
      <c r="E20" s="4"/>
      <c r="F20" s="4"/>
      <c r="G20" s="4"/>
      <c r="H20" s="4"/>
      <c r="I20" s="4"/>
      <c r="J20" s="4"/>
      <c r="K20" s="4"/>
      <c r="L20" s="4"/>
      <c r="M20" s="4"/>
      <c r="N20" s="4"/>
      <c r="O20" s="4"/>
      <c r="P20" s="4"/>
      <c r="Q20" s="4"/>
      <c r="R20" s="4"/>
      <c r="S20" s="4"/>
    </row>
    <row r="21" spans="1:19" x14ac:dyDescent="0.3">
      <c r="A21" s="4"/>
      <c r="B21" s="4"/>
      <c r="C21" s="4"/>
      <c r="D21" s="4"/>
      <c r="E21" s="4"/>
      <c r="F21" s="4"/>
      <c r="G21" s="4"/>
      <c r="H21" s="4"/>
      <c r="I21" s="4"/>
      <c r="J21" s="4"/>
      <c r="K21" s="4"/>
      <c r="L21" s="4"/>
      <c r="M21" s="4"/>
      <c r="N21" s="4"/>
      <c r="O21" s="4"/>
      <c r="P21" s="4"/>
      <c r="Q21" s="4"/>
      <c r="R21" s="4"/>
      <c r="S21" s="4"/>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AF41175-E7B5-4871-ADA2-5A049D289100}">
  <ds:schemaRefs/>
</ds:datastoreItem>
</file>

<file path=customXml/itemProps2.xml><?xml version="1.0" encoding="utf-8"?>
<ds:datastoreItem xmlns:ds="http://schemas.openxmlformats.org/officeDocument/2006/customXml" ds:itemID="{52C9E40D-B8FD-4BB4-BF3B-98C75D058DEB}">
  <ds:schemaRefs/>
</ds:datastoreItem>
</file>

<file path=customXml/itemProps3.xml><?xml version="1.0" encoding="utf-8"?>
<ds:datastoreItem xmlns:ds="http://schemas.openxmlformats.org/officeDocument/2006/customXml" ds:itemID="{74A415CB-0242-4685-B1A5-EEF7BE5D75B1}">
  <ds:schemaRefs/>
</ds:datastoreItem>
</file>

<file path=customXml/itemProps4.xml><?xml version="1.0" encoding="utf-8"?>
<ds:datastoreItem xmlns:ds="http://schemas.openxmlformats.org/officeDocument/2006/customXml" ds:itemID="{98CCBB7C-5381-4418-AEA5-36B791F227A9}">
  <ds:schemaRefs/>
</ds:datastoreItem>
</file>

<file path=customXml/itemProps5.xml><?xml version="1.0" encoding="utf-8"?>
<ds:datastoreItem xmlns:ds="http://schemas.openxmlformats.org/officeDocument/2006/customXml" ds:itemID="{B7879BED-973D-4235-96B3-5F54EAC98ECD}">
  <ds:schemaRefs>
    <ds:schemaRef ds:uri="http://schemas.microsoft.com/DataMashup"/>
  </ds:schemaRefs>
</ds:datastoreItem>
</file>

<file path=customXml/itemProps6.xml><?xml version="1.0" encoding="utf-8"?>
<ds:datastoreItem xmlns:ds="http://schemas.openxmlformats.org/officeDocument/2006/customXml" ds:itemID="{9EC1E849-3267-4969-836E-2C338FC61032}">
  <ds:schemaRefs/>
</ds:datastoreItem>
</file>

<file path=customXml/itemProps7.xml><?xml version="1.0" encoding="utf-8"?>
<ds:datastoreItem xmlns:ds="http://schemas.openxmlformats.org/officeDocument/2006/customXml" ds:itemID="{3BCF47E2-CC8F-49AD-88E6-1F3F2E6A0B3F}">
  <ds:schemaRefs/>
</ds:datastoreItem>
</file>

<file path=customXml/itemProps8.xml><?xml version="1.0" encoding="utf-8"?>
<ds:datastoreItem xmlns:ds="http://schemas.openxmlformats.org/officeDocument/2006/customXml" ds:itemID="{D4F77EA1-4091-4337-8901-FDC61655C3AB}">
  <ds:schemaRefs/>
</ds:datastoreItem>
</file>

<file path=customXml/itemProps9.xml><?xml version="1.0" encoding="utf-8"?>
<ds:datastoreItem xmlns:ds="http://schemas.openxmlformats.org/officeDocument/2006/customXml" ds:itemID="{6CB21F6A-9ABA-43A6-AA3D-903007A2D40C}">
  <ds:schemaRefs/>
</ds:datastoreItem>
</file>

<file path=customXml/itemProps10.xml><?xml version="1.0" encoding="utf-8"?>
<ds:datastoreItem xmlns:ds="http://schemas.openxmlformats.org/officeDocument/2006/customXml" ds:itemID="{61BB5B83-EDB9-4D8C-ACD3-0F94391EBE3F}">
  <ds:schemaRefs/>
</ds:datastoreItem>
</file>

<file path=customXml/itemProps11.xml><?xml version="1.0" encoding="utf-8"?>
<ds:datastoreItem xmlns:ds="http://schemas.openxmlformats.org/officeDocument/2006/customXml" ds:itemID="{CD9D6B1A-0F07-41AC-B639-8D7DD0B4B693}">
  <ds:schemaRefs/>
</ds:datastoreItem>
</file>

<file path=customXml/itemProps12.xml><?xml version="1.0" encoding="utf-8"?>
<ds:datastoreItem xmlns:ds="http://schemas.openxmlformats.org/officeDocument/2006/customXml" ds:itemID="{9C3E263F-F73B-46E4-B21F-A57D6A0ACA72}">
  <ds:schemaRefs/>
</ds:datastoreItem>
</file>

<file path=customXml/itemProps13.xml><?xml version="1.0" encoding="utf-8"?>
<ds:datastoreItem xmlns:ds="http://schemas.openxmlformats.org/officeDocument/2006/customXml" ds:itemID="{445D6872-C287-4C26-9D9F-CAB9DBCA4FDA}">
  <ds:schemaRefs/>
</ds:datastoreItem>
</file>

<file path=customXml/itemProps14.xml><?xml version="1.0" encoding="utf-8"?>
<ds:datastoreItem xmlns:ds="http://schemas.openxmlformats.org/officeDocument/2006/customXml" ds:itemID="{3F0B57D1-84C2-4D74-A1A4-788C10C71889}">
  <ds:schemaRefs/>
</ds:datastoreItem>
</file>

<file path=customXml/itemProps15.xml><?xml version="1.0" encoding="utf-8"?>
<ds:datastoreItem xmlns:ds="http://schemas.openxmlformats.org/officeDocument/2006/customXml" ds:itemID="{EA5E0B5C-BE40-45FA-9269-0C8FAD2E9130}">
  <ds:schemaRefs/>
</ds:datastoreItem>
</file>

<file path=customXml/itemProps16.xml><?xml version="1.0" encoding="utf-8"?>
<ds:datastoreItem xmlns:ds="http://schemas.openxmlformats.org/officeDocument/2006/customXml" ds:itemID="{8ACE52D1-63BF-468A-BE7A-317C673A1391}">
  <ds:schemaRefs/>
</ds:datastoreItem>
</file>

<file path=customXml/itemProps17.xml><?xml version="1.0" encoding="utf-8"?>
<ds:datastoreItem xmlns:ds="http://schemas.openxmlformats.org/officeDocument/2006/customXml" ds:itemID="{D218FD73-4A7B-46F0-A881-1B0B9660D10F}">
  <ds:schemaRefs/>
</ds:datastoreItem>
</file>

<file path=customXml/itemProps18.xml><?xml version="1.0" encoding="utf-8"?>
<ds:datastoreItem xmlns:ds="http://schemas.openxmlformats.org/officeDocument/2006/customXml" ds:itemID="{5B22645A-8D1F-4120-9CC7-75B3CB56FE4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 Report</vt:lpstr>
      <vt:lpstr>Daily ER No. of Patient</vt:lpstr>
      <vt:lpstr>Average Wait Time Daily Trend</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Rikvinder kumar</dc:creator>
  <cp:lastModifiedBy>Rikvinder kumar</cp:lastModifiedBy>
  <dcterms:created xsi:type="dcterms:W3CDTF">2026-07-12T06:44:26Z</dcterms:created>
  <dcterms:modified xsi:type="dcterms:W3CDTF">2026-07-20T17:49:50Z</dcterms:modified>
</cp:coreProperties>
</file>